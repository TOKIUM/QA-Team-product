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テストケース(フォローアップ前)" sheetId="4" r:id="rId8"/>
    <sheet state="visible" name="進捗" sheetId="5" r:id="rId9"/>
    <sheet state="visible" name="チェック表" sheetId="6" r:id="rId10"/>
    <sheet state="hidden" name="質問・レビュー指摘_振り返り"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tc={2ea3609a-158a-465e-9021-36f5f8920fbf}</author>
    <author>tc={89edfdc6-77ad-472a-8570-65be21040bdc}</author>
  </authors>
  <commentList>
    <comment authorId="0" xr:uid="{2ea3609a-158a-465e-9021-36f5f8920fbf}" ref="A1">
      <text>
        <t xml:space="preserve">[Threaded comment]
 Your version of Excel allows you to read this threaded comment; however, any edits to it will get removed if the file is opened in a newer version of Excel. Learn more: https://go.microsoft.com/fwlink/?linkid=870924
Comment:
	バックエンド(動作周り）の確認のため、複数ブラウザでの確認は不要かと
</t>
      </text>
    </comment>
    <comment authorId="1" xr:uid="{89edfdc6-77ad-472a-8570-65be21040bdc}" ref="A1">
      <text>
        <t xml:space="preserve">[Threaded comment]
 Your version of Excel allows you to read this threaded comment; however, any edits to it will get removed if the file is opened in a newer version of Excel. Learn more: https://go.microsoft.com/fwlink/?linkid=870924
Comment:
	オペレータサジェストがある場合は全項目クリップ済みで活性化している場合がある。
送信可能条件を満たさないで送信できないことを観点とします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tc={0efd5434-8d85-4d16-a577-35843c4c92a6}</author>
    <author>tc={2a6293cb-c385-492e-b217-c51f02538c37}</author>
    <author>tc={2db76b6f-bd73-466d-a876-ceade2009492}</author>
    <author>tc={511e3419-24f2-44d2-ab9e-f64ce60f2c08}</author>
    <author>tc={609d0c8a-06d1-4c22-9004-32bdb2e89e31}</author>
    <author>tc={a36d64f4-45ec-4ed3-8eb2-ecd44792686f}</author>
    <author>tc={c265fa0a-70d5-43a0-b810-4d370c6032ef}</author>
    <author>tc={e8c5f162-b2f1-40e2-b31d-2b7c4b121709}</author>
  </authors>
  <commentList>
    <comment authorId="0" xr:uid="{0efd5434-8d85-4d16-a577-35843c4c92a6}" ref="I9">
      <text>
        <t xml:space="preserve">[Threaded comment]
 Your version of Excel allows you to read this threaded comment; however, any edits to it will get removed if the file is opened in a newer version of Excel. Learn more: https://go.microsoft.com/fwlink/?linkid=870924
Comment:
	AIサジェストが有効な場合はAIによる特徴的なサジェストが表示される
</t>
      </text>
    </comment>
    <comment authorId="1" xr:uid="{2a6293cb-c385-492e-b217-c51f02538c37}" ref="F5">
      <text>
        <t xml:space="preserve">[Threaded comment]
 Your version of Excel allows you to read this threaded comment; however, any edits to it will get removed if the file is opened in a newer version of Excel. Learn more: https://go.microsoft.com/fwlink/?linkid=870924
Comment:
	税抜設定時の表示であることを確認すればいい
</t>
      </text>
    </comment>
    <comment authorId="2" xr:uid="{2db76b6f-bd73-466d-a876-ceade2009492}" ref="F11">
      <text>
        <t xml:space="preserve">[Threaded comment]
 Your version of Excel allows you to read this threaded comment; however, any edits to it will get removed if the file is opened in a newer version of Excel. Learn more: https://go.microsoft.com/fwlink/?linkid=870924
Comment:
	観点を補完
</t>
      </text>
    </comment>
    <comment authorId="3" xr:uid="{511e3419-24f2-44d2-ab9e-f64ce60f2c08}" ref="I8">
      <text>
        <t xml:space="preserve">[Threaded comment]
 Your version of Excel allows you to read this threaded comment; however, any edits to it will get removed if the file is opened in a newer version of Excel. Learn more: https://go.microsoft.com/fwlink/?linkid=870924
Comment:
	期待結果としては「税抜」で領域がサジェストされていることかと
</t>
      </text>
    </comment>
    <comment authorId="4" xr:uid="{609d0c8a-06d1-4c22-9004-32bdb2e89e31}" ref="F9">
      <text>
        <t xml:space="preserve">[Threaded comment]
 Your version of Excel allows you to read this threaded comment; however, any edits to it will get removed if the file is opened in a newer version of Excel. Learn more: https://go.microsoft.com/fwlink/?linkid=870924
Comment:
	AIクリッピング後、かと
</t>
      </text>
    </comment>
    <comment authorId="5" xr:uid="{a36d64f4-45ec-4ed3-8eb2-ecd44792686f}" ref="I8">
      <text>
        <t xml:space="preserve">[Threaded comment]
 Your version of Excel allows you to read this threaded comment; however, any edits to it will get removed if the file is opened in a newer version of Excel. Learn more: https://go.microsoft.com/fwlink/?linkid=870924
Comment:
	OCR＝クリップサジェストのことなので、オペレータのサジェストが表示または非表示であること(設定による)
</t>
      </text>
    </comment>
    <comment authorId="6" xr:uid="{c265fa0a-70d5-43a0-b810-4d370c6032ef}" ref="F8">
      <text>
        <t xml:space="preserve">[Threaded comment]
 Your version of Excel allows you to read this threaded comment; however, any edits to it will get removed if the file is opened in a newer version of Excel. Learn more: https://go.microsoft.com/fwlink/?linkid=870924
Comment:
	AIクリッピング前、かな
</t>
      </text>
    </comment>
    <comment authorId="7" xr:uid="{e8c5f162-b2f1-40e2-b31d-2b7c4b121709}" ref="I15">
      <text>
        <t xml:space="preserve">[Threaded comment]
 Your version of Excel allows you to read this threaded comment; however, any edits to it will get removed if the file is opened in a newer version of Excel. Learn more: https://go.microsoft.com/fwlink/?linkid=870924
Comment:
	OCRで判断した税種別(この場合は税抜)で表示されること、の方がよさそうか
</t>
      </text>
    </comment>
  </commentList>
</comments>
</file>

<file path=xl/sharedStrings.xml><?xml version="1.0" encoding="utf-8"?>
<sst xmlns="http://schemas.openxmlformats.org/spreadsheetml/2006/main" count="2480" uniqueCount="646">
  <si>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</si>
  <si>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</si>
  <si>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</si>
  <si>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</si>
  <si>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</si>
  <si>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</si>
  <si>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</si>
  <si>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</si>
  <si>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</si>
  <si>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</si>
  <si>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</si>
  <si>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</si>
  <si>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</si>
  <si>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</si>
  <si>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</si>
  <si>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</si>
  <si>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</si>
  <si>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</si>
  <si>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</si>
  <si>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</si>
  <si>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</si>
  <si>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</si>
  <si>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</si>
  <si>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</si>
  <si>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</si>
  <si>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</si>
  <si>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</si>
  <si>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</si>
  <si>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</si>
  <si>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</si>
  <si>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</si>
  <si>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</si>
  <si>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</si>
  <si>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</si>
  <si>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</si>
  <si>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</si>
  <si>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</si>
  <si>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</si>
  <si>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</si>
  <si>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</si>
  <si>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</si>
  <si>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</si>
  <si>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</si>
  <si>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</si>
  <si>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</si>
  <si>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</si>
  <si>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</si>
  <si>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</si>
  <si>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</si>
  <si>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</si>
  <si>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</si>
  <si>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</si>
  <si>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</si>
  <si>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</si>
  <si>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</si>
  <si>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</si>
  <si>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</si>
  <si>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</si>
  <si>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</si>
  <si>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</si>
  <si>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</si>
  <si>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</si>
  <si>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</si>
  <si>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</si>
  <si>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</si>
  <si>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</si>
  <si>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</si>
  <si>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</si>
  <si>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</si>
  <si>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</si>
  <si>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</si>
  <si>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</si>
  <si>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</si>
  <si>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</si>
  <si>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</si>
  <si>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</si>
  <si>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</si>
  <si>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</si>
  <si>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</si>
  <si>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</si>
  <si>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</si>
  <si>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</si>
  <si>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</si>
  <si>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</si>
  <si>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</si>
  <si>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</si>
  <si>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</si>
  <si>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</si>
  <si>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</si>
  <si>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</si>
  <si>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</si>
  <si>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</si>
  <si>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</si>
  <si>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</si>
  <si>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</si>
  <si>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</si>
  <si>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</si>
  <si>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</si>
  <si>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開発チケット：</t>
  </si>
  <si>
    <t>https://beartail.atlassian.net/browse/ES-4977</t>
  </si>
  <si>
    <t>要件ページ：</t>
  </si>
  <si>
    <t>QA依頼：</t>
  </si>
  <si>
    <t>https://beartail.slack.com/archives/C02QY42J0UE/p1759125731408219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</si>
  <si>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</si>
  <si>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</si>
  <si>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</si>
  <si>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</si>
  <si>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</si>
  <si>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</si>
  <si>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</si>
  <si>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</si>
  <si>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</si>
  <si>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</si>
  <si>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</si>
  <si>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</si>
  <si>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</si>
  <si>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</si>
  <si>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</si>
  <si>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</si>
  <si>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</si>
  <si>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</si>
  <si>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</si>
  <si>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</si>
  <si>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</si>
  <si>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</si>
  <si>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</si>
  <si>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</si>
  <si>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</si>
  <si>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</si>
  <si>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</si>
  <si>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</si>
  <si>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</si>
  <si>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</si>
  <si>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</si>
  <si>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</si>
  <si>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</si>
  <si>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</si>
  <si>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</si>
  <si>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</si>
  <si>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</si>
  <si>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</si>
  <si>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</si>
  <si>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</si>
  <si>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</si>
  <si>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</si>
  <si>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</si>
  <si>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</si>
  <si>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</si>
  <si>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</si>
  <si>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</si>
  <si>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</si>
  <si>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</si>
  <si>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</si>
  <si>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</si>
  <si>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</si>
  <si>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</si>
  <si>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</si>
  <si>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</si>
  <si>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※リスト形式</t>
  </si>
  <si>
    <t>確認すること</t>
  </si>
  <si>
    <t>画面</t>
  </si>
  <si>
    <t>確認対象</t>
  </si>
  <si>
    <t>詳細①</t>
  </si>
  <si>
    <t>詳細②</t>
  </si>
  <si>
    <t>クリッピングレーンの表示/動作</t>
  </si>
  <si>
    <t>クリッピングレーン</t>
  </si>
  <si>
    <r>
      <rPr>
        <rFont val="Arial"/>
        <color theme="1"/>
      </rPr>
      <t>請求書（</t>
    </r>
    <r>
      <rPr>
        <rFont val="Arial"/>
        <color rgb="FF4A86E8"/>
      </rPr>
      <t>税抜</t>
    </r>
    <r>
      <rPr>
        <rFont val="Arial"/>
        <color theme="1"/>
      </rPr>
      <t>）からの自動入力</t>
    </r>
  </si>
  <si>
    <t>項目表示</t>
  </si>
  <si>
    <t>金額以外 の各項目（下記テーブル参照）</t>
  </si>
  <si>
    <t>金額 の各項目（下記テーブル参照）</t>
  </si>
  <si>
    <t>ボタン表示</t>
  </si>
  <si>
    <t>送信ボタン</t>
  </si>
  <si>
    <t>OCR読み込み前</t>
  </si>
  <si>
    <t>サジェストの状態</t>
  </si>
  <si>
    <t>OCR読み込み後</t>
  </si>
  <si>
    <t>税入力</t>
  </si>
  <si>
    <t>税抜</t>
  </si>
  <si>
    <t>税込/税抜額が不明な場合</t>
  </si>
  <si>
    <t>表示確認</t>
  </si>
  <si>
    <t>OCRの吹き出し</t>
  </si>
  <si>
    <t>吹き出し表示に従った後の吹き出しの状態</t>
  </si>
  <si>
    <t>→送信ボタン押下</t>
  </si>
  <si>
    <t>吹き出し表示に従わなかった後の吹き出しの状態</t>
  </si>
  <si>
    <t xml:space="preserve">　　→今回未実装</t>
  </si>
  <si>
    <t>外貨に設定した場合</t>
  </si>
  <si>
    <t>送信後</t>
  </si>
  <si>
    <t>データ化の確認</t>
  </si>
  <si>
    <t>OCRより先にクリッピング表示した場合</t>
  </si>
  <si>
    <t>OCRの挙動確認</t>
  </si>
  <si>
    <t xml:space="preserve">　　→クリッピング枠を画像上に描画するAI と税入力（と通貨）を選択するAIで並列で動くので見る必要がない？</t>
  </si>
  <si>
    <t>チップ入力からクリッピングレーンに差し戻された場合</t>
  </si>
  <si>
    <r>
      <rPr>
        <rFont val="Arial"/>
        <color theme="1"/>
      </rPr>
      <t>請求書（</t>
    </r>
    <r>
      <rPr>
        <rFont val="Arial"/>
        <color rgb="FFFF00FF"/>
      </rPr>
      <t>税込</t>
    </r>
    <r>
      <rPr>
        <rFont val="Arial"/>
        <color theme="1"/>
      </rPr>
      <t>）からの自動入力</t>
    </r>
  </si>
  <si>
    <t>税込</t>
  </si>
  <si>
    <r>
      <rPr>
        <rFont val="Arial"/>
        <color theme="1"/>
      </rPr>
      <t>請求書（</t>
    </r>
    <r>
      <rPr>
        <rFont val="Arial"/>
        <color rgb="FF4A86E8"/>
      </rPr>
      <t>税抜</t>
    </r>
    <r>
      <rPr>
        <rFont val="Arial"/>
        <color theme="1"/>
      </rPr>
      <t>+</t>
    </r>
    <r>
      <rPr>
        <rFont val="Arial"/>
        <color rgb="FFFF00FF"/>
      </rPr>
      <t>税込</t>
    </r>
    <r>
      <rPr>
        <rFont val="Arial"/>
        <color theme="1"/>
      </rPr>
      <t>）からの自動入力</t>
    </r>
  </si>
  <si>
    <r>
      <rPr>
        <rFont val="Arial"/>
        <color rgb="FF4A86E8"/>
      </rPr>
      <t>税抜</t>
    </r>
    <r>
      <rPr>
        <rFont val="Arial"/>
        <color rgb="FF000000"/>
      </rPr>
      <t>or</t>
    </r>
    <r>
      <rPr>
        <rFont val="Arial"/>
        <color rgb="FFFF00FF"/>
      </rPr>
      <t>税込</t>
    </r>
  </si>
  <si>
    <r>
      <rPr>
        <rFont val="Arial"/>
        <color theme="1"/>
      </rPr>
      <t>請求書（</t>
    </r>
    <r>
      <rPr>
        <rFont val="Arial"/>
        <color rgb="FFFF9900"/>
      </rPr>
      <t>外貨</t>
    </r>
    <r>
      <rPr>
        <rFont val="Arial"/>
        <color theme="1"/>
      </rPr>
      <t>）からの自動入力</t>
    </r>
  </si>
  <si>
    <t>日本円/外貨</t>
  </si>
  <si>
    <t>外貨</t>
  </si>
  <si>
    <t>練習問題のOCR挙動</t>
  </si>
  <si>
    <t>クリッピングの練習問題</t>
  </si>
  <si>
    <t>OCR挙動</t>
  </si>
  <si>
    <t>OCR挙動有無</t>
  </si>
  <si>
    <t xml:space="preserve">金額以外 </t>
  </si>
  <si>
    <t>税抜の請求書、税込の請求書、税抜額と税込額の記載がある請求書、外貨の請求書を使う</t>
  </si>
  <si>
    <t>発行者</t>
  </si>
  <si>
    <t>OCRの判断に従った場合にポップアップは出ないか、送信できるか、OCRが判断した税指定でデータ化されているか</t>
  </si>
  <si>
    <t>電話番号</t>
  </si>
  <si>
    <t>OCRの判断を否定した場合にポップアップが出るか、送信できるか、オペレータが判断した税指定でデータ化されているか</t>
  </si>
  <si>
    <t>登録番号</t>
  </si>
  <si>
    <t>外貨にした場合にポップアップが出るか、送信できるか、外貨でデータ化されるか</t>
  </si>
  <si>
    <t>銀行</t>
  </si>
  <si>
    <t>税込/税抜問わず、税込額/税抜額を切り抜いていない場合に不都合は出ないか</t>
  </si>
  <si>
    <t>支払期限</t>
  </si>
  <si>
    <t>OCRよりも先にクリッピングを表示したときの挙動（理論上は判断がされないことになる）</t>
  </si>
  <si>
    <t>振込手数料負担者</t>
  </si>
  <si>
    <t>金額</t>
  </si>
  <si>
    <t>☐繰越額1円以上記載あり</t>
  </si>
  <si>
    <t>通貨（日本円/外資）</t>
  </si>
  <si>
    <t>繰越＋当月</t>
  </si>
  <si>
    <t>10％税抜金額</t>
  </si>
  <si>
    <t>10%消費税</t>
  </si>
  <si>
    <t>クリッピング対応アカウントはステージングとdev-tiのみ</t>
  </si>
  <si>
    <t>8%税抜金額</t>
  </si>
  <si>
    <t>8%消費税</t>
  </si>
  <si>
    <t>共通ステージング</t>
  </si>
  <si>
    <t>0%対象金額</t>
  </si>
  <si>
    <r>
      <rPr>
        <color rgb="FF1155CC"/>
        <u/>
      </rPr>
      <t>kitagawa_t+stg-all2@tokium.jp</t>
    </r>
    <r>
      <rPr/>
      <t xml:space="preserve"> Qa12345678</t>
    </r>
  </si>
  <si>
    <t>源泉徴収税額</t>
  </si>
  <si>
    <t>dev-ti</t>
  </si>
  <si>
    <r>
      <rPr>
        <color rgb="FF1155CC"/>
        <u/>
      </rPr>
      <t>kitagawa_t+ti-all9@tokium.jp</t>
    </r>
    <r>
      <rPr/>
      <t xml:space="preserve"> Qa12345678 （TDオペレータ入力（書類振分）有効）</t>
    </r>
  </si>
  <si>
    <r>
      <rPr>
        <color rgb="FF1155CC"/>
        <u/>
      </rPr>
      <t>kitagawa_t+ti-all10@tokium.jp</t>
    </r>
    <r>
      <rPr/>
      <t xml:space="preserve"> Qa12345678 （TDオペレータ入力（書類振分）無効）</t>
    </r>
  </si>
  <si>
    <t>→テストではこちらを使用</t>
  </si>
  <si>
    <r>
      <rPr>
        <rFont val="Arial"/>
        <color rgb="FFFF9900"/>
        <sz val="14.0"/>
      </rPr>
      <t>🌟本テストで使用するTOKIUMアカウント：</t>
    </r>
    <r>
      <rPr>
        <rFont val="Arial"/>
        <b/>
        <color rgb="FFFF00FF"/>
        <sz val="14.0"/>
      </rPr>
      <t>kitagawa_t+ti-all10@tokium.jp</t>
    </r>
    <r>
      <rPr>
        <rFont val="Arial"/>
        <b/>
        <color rgb="FFFF9900"/>
        <sz val="14.0"/>
      </rPr>
      <t xml:space="preserve"> Qa12345678</t>
    </r>
    <r>
      <rPr>
        <rFont val="Arial"/>
        <color rgb="FFFF9900"/>
        <sz val="14.0"/>
      </rPr>
      <t xml:space="preserve"> （TDオペレータ入力（書類振分）無効）、</t>
    </r>
    <r>
      <rPr>
        <rFont val="Arial"/>
        <color rgb="FFFF00FF"/>
        <sz val="14.0"/>
      </rPr>
      <t>AI-OCR有効</t>
    </r>
  </si>
  <si>
    <t>Win11/
Chrome</t>
  </si>
  <si>
    <t>Mac/
Safari</t>
  </si>
  <si>
    <t>No</t>
  </si>
  <si>
    <t>テスト実行手順</t>
  </si>
  <si>
    <t>期待値</t>
  </si>
  <si>
    <t>備考</t>
  </si>
  <si>
    <t>上記アカウント使用</t>
  </si>
  <si>
    <t>実行備考</t>
  </si>
  <si>
    <t>起票JIRA No</t>
  </si>
  <si>
    <r>
      <rPr>
        <rFont val="Arial"/>
        <color theme="1"/>
      </rPr>
      <t>請求書（</t>
    </r>
    <r>
      <rPr>
        <rFont val="Arial"/>
        <color rgb="FF4A86E8"/>
      </rPr>
      <t>税抜</t>
    </r>
    <r>
      <rPr>
        <rFont val="Arial"/>
        <color theme="1"/>
      </rPr>
      <t>）からの自動入力</t>
    </r>
  </si>
  <si>
    <t>税設定</t>
  </si>
  <si>
    <t>1.確認対象の税設定が記載された請求書を任意の方法でアップロードし、クリッピングレーンに流す
2.AI-OCRが走るまで待機する（約5～10分）
3.クリッピング画面で詳細２の内容を確認する</t>
  </si>
  <si>
    <t>税抜きが選択されていること</t>
  </si>
  <si>
    <t>AI-OCRの有無はWorker情報で検索した際に、ai-ocr-worker@beartail.jpの入力履歴があるかどうかで確認できる</t>
  </si>
  <si>
    <t>別チケットで対応</t>
  </si>
  <si>
    <t>595a5a4b-6cee-4774-81b4-d70490bd1f13
税抜判定でも税込が選択されている
→11/21　税込がデフォルトで選択されていても税抜と判断したとのダイアログが表示される
追記：別の課題チケットにて対応。</t>
  </si>
  <si>
    <t>ES-5439</t>
  </si>
  <si>
    <t>同上</t>
  </si>
  <si>
    <t>税設定状態</t>
  </si>
  <si>
    <t>1.確認対象の税設定が記載された請求書を任意の方法でアップロードし、クリッピングレーンに流す
2.AI-OCRが走る前のクリッピング画面で税設定を確認する</t>
  </si>
  <si>
    <t>税抜設定であること</t>
  </si>
  <si>
    <t>上記に引き続き、AI-OCRが走ったことを確認して再度クリッピング画面で表示を確認する</t>
  </si>
  <si>
    <t>別の課題チケットにて対応。</t>
  </si>
  <si>
    <t>現在の税設定で送信</t>
  </si>
  <si>
    <t>税設定を変更せずに送信する</t>
  </si>
  <si>
    <t>ダイアログを表示せず、送信できること</t>
  </si>
  <si>
    <t>異なる税設定での送信</t>
  </si>
  <si>
    <t>税設定を「税込」に変更してクリッピングし、送信を試みる</t>
  </si>
  <si>
    <t>ダイアログが表示されること</t>
  </si>
  <si>
    <t>税設定を「税込」に変更してクリッピングし、送信を試みる
ダイアログで「キャンセル」する</t>
  </si>
  <si>
    <t>送信されないこと</t>
  </si>
  <si>
    <t>税設定を「税込」に変更してクリッピングし、送信を試みる
ダイアログで「OK」を選択する</t>
  </si>
  <si>
    <t>送信できること</t>
  </si>
  <si>
    <t>外貨に切り替えてクリッピングし、送信を試みる</t>
  </si>
  <si>
    <t>1.ESのチップ入力で「入力不可」を3アカウントで選択して、クリッピングレーンに差し戻す
2.クリッピング画面で税設定を確認する</t>
  </si>
  <si>
    <t>税抜判定されても税込が設定されている
別の課題チケットにて対応。</t>
  </si>
  <si>
    <r>
      <rPr>
        <rFont val="Arial"/>
        <color theme="1"/>
      </rPr>
      <t>請求書（</t>
    </r>
    <r>
      <rPr>
        <rFont val="Arial"/>
        <color rgb="FFFF00FF"/>
      </rPr>
      <t>税込</t>
    </r>
    <r>
      <rPr>
        <rFont val="Arial"/>
        <color theme="1"/>
      </rPr>
      <t>）からの自動入力</t>
    </r>
  </si>
  <si>
    <r>
      <rPr>
        <rFont val="Arial"/>
        <color rgb="FFFF00FF"/>
      </rPr>
      <t>税込み</t>
    </r>
    <r>
      <rPr>
        <rFont val="Arial"/>
        <color theme="1"/>
      </rPr>
      <t>が選択されていること</t>
    </r>
  </si>
  <si>
    <t>10％税込金額</t>
  </si>
  <si>
    <t>8%税込金額</t>
  </si>
  <si>
    <t>AI OCR読み込み前</t>
  </si>
  <si>
    <t>上記に引き続き、金額の項目を確認する</t>
  </si>
  <si>
    <t>10%税抜設定、8%税抜金額が表示されていること</t>
  </si>
  <si>
    <t>AI OCR読み込み後</t>
  </si>
  <si>
    <r>
      <rPr>
        <rFont val="Arial"/>
        <color rgb="FFFF00FF"/>
      </rPr>
      <t>税込</t>
    </r>
    <r>
      <rPr>
        <rFont val="Arial"/>
        <color theme="1"/>
      </rPr>
      <t>設定であること</t>
    </r>
  </si>
  <si>
    <t>税設定を「税抜」に変更してクリッピングし、送信を試みる</t>
  </si>
  <si>
    <t>safari：浦本</t>
  </si>
  <si>
    <t>表示されるダイアログに「」が表示される。ダイアログ自体は表示される
これが税設定由来で表示されるか不明</t>
  </si>
  <si>
    <t>税設定を「税抜」に変更してクリッピングし、送信を試みる
ダイアログで「キャンセル」する</t>
  </si>
  <si>
    <t>税設定を「税抜」に変更してクリッピングし、送信を試みる
ダイアログで「OK」を選択する</t>
  </si>
  <si>
    <r>
      <rPr>
        <rFont val="Arial"/>
        <color rgb="FFFF00FF"/>
      </rPr>
      <t>税込</t>
    </r>
    <r>
      <rPr>
        <rFont val="Arial"/>
        <color theme="1"/>
      </rPr>
      <t>設定であること</t>
    </r>
  </si>
  <si>
    <t>税抜に変更してクリッピングしたら、戻った際税込みになった
b6dc92d2-d4a8-4d36-8f85-f4ce3b956753</t>
  </si>
  <si>
    <r>
      <rPr>
        <rFont val="Arial"/>
        <color theme="1"/>
      </rPr>
      <t>請求書（</t>
    </r>
    <r>
      <rPr>
        <rFont val="Arial"/>
        <color rgb="FF4A86E8"/>
      </rPr>
      <t>税抜</t>
    </r>
    <r>
      <rPr>
        <rFont val="Arial"/>
        <color theme="1"/>
      </rPr>
      <t>+</t>
    </r>
    <r>
      <rPr>
        <rFont val="Arial"/>
        <color rgb="FFFF00FF"/>
      </rPr>
      <t>税込</t>
    </r>
    <r>
      <rPr>
        <rFont val="Arial"/>
        <color theme="1"/>
      </rPr>
      <t>）からの自動入力</t>
    </r>
  </si>
  <si>
    <t>税込または税抜が選択されるため、両方を含むケースは確認の必要性が薄いと判断し割愛します。</t>
  </si>
  <si>
    <t>71e7a7f9-733b-4b4d-a6dc-d788f006a75c
税込が指定されていた</t>
  </si>
  <si>
    <t>税込指定されていた</t>
  </si>
  <si>
    <r>
      <rPr>
        <rFont val="Arial"/>
        <color theme="1"/>
      </rPr>
      <t>請求書（</t>
    </r>
    <r>
      <rPr>
        <rFont val="Arial"/>
        <color rgb="FFFF9900"/>
      </rPr>
      <t>外貨</t>
    </r>
    <r>
      <rPr>
        <rFont val="Arial"/>
        <color theme="1"/>
      </rPr>
      <t>）からの自動入力</t>
    </r>
  </si>
  <si>
    <t>22b42dfc-bf65-4e9e-a2e7-62d679cff38c
税込設定になった</t>
  </si>
  <si>
    <t>税込設定になった</t>
  </si>
  <si>
    <t>税抜の場合を確認</t>
  </si>
  <si>
    <t>※外貨を読み取った際に日本円の場合、外貨に関する表示が行われるようになった</t>
  </si>
  <si>
    <t>そもそも外貨自体税設定が必要ないため、検証の価値が薄い
税設定のダイアログが表示されること自体が余分と考える</t>
  </si>
  <si>
    <t>ES-5440</t>
  </si>
  <si>
    <t>通貨を「JPY」のままクリッピングし、送信を試みる</t>
  </si>
  <si>
    <t>通貨を「JPY」のままクリッピングし、送信を試みる
ダイアログで「キャンセル」する</t>
  </si>
  <si>
    <t>通貨を「JPY」のままクリッピングし、送信を試みる
ダイアログで「OK」を選択する</t>
  </si>
  <si>
    <t>※AI-OCRが動作するまで待つ必要がある</t>
  </si>
  <si>
    <t>税込が選択されている</t>
  </si>
  <si>
    <r>
      <rPr>
        <rFont val="Arial"/>
        <color rgb="FF4A86E8"/>
      </rPr>
      <t>税抜き</t>
    </r>
    <r>
      <rPr>
        <rFont val="Arial"/>
        <color theme="1"/>
      </rPr>
      <t>が選択されていること</t>
    </r>
  </si>
  <si>
    <t>税込税抜の記載がない請求書を作成して確認する</t>
  </si>
  <si>
    <r>
      <rPr>
        <rFont val="Arial"/>
        <color rgb="FFFF9900"/>
        <sz val="14.0"/>
      </rPr>
      <t>🌟本テストで使用するTOKIUMアカウント：</t>
    </r>
    <r>
      <rPr>
        <rFont val="Arial"/>
        <b/>
        <color rgb="FFFF00FF"/>
        <sz val="14.0"/>
      </rPr>
      <t>kitagawa_t+ti-all10@tokium.jp</t>
    </r>
    <r>
      <rPr>
        <rFont val="Arial"/>
        <b/>
        <color rgb="FFFF9900"/>
        <sz val="14.0"/>
      </rPr>
      <t xml:space="preserve"> Qa12345678</t>
    </r>
    <r>
      <rPr>
        <rFont val="Arial"/>
        <color rgb="FFFF9900"/>
        <sz val="14.0"/>
      </rPr>
      <t xml:space="preserve"> （TDオペレータ入力（書類振分）無効）、</t>
    </r>
    <r>
      <rPr>
        <rFont val="Arial"/>
        <color rgb="FFFF00FF"/>
        <sz val="14.0"/>
      </rPr>
      <t>AI-OCR有効</t>
    </r>
  </si>
  <si>
    <t>Win11/
Edge</t>
  </si>
  <si>
    <t>Win11/
Firefox</t>
  </si>
  <si>
    <t>Autify</t>
  </si>
  <si>
    <r>
      <rPr>
        <rFont val="Arial"/>
        <color theme="1"/>
      </rPr>
      <t>請求書（</t>
    </r>
    <r>
      <rPr>
        <rFont val="Arial"/>
        <color rgb="FF4A86E8"/>
      </rPr>
      <t>税抜</t>
    </r>
    <r>
      <rPr>
        <rFont val="Arial"/>
        <color theme="1"/>
      </rPr>
      <t>）からの自動入力</t>
    </r>
  </si>
  <si>
    <t>1.TOKIUM＞請求書＞請求書を登録する＞一括登録を選択
2.任意の請求書ファイルをアップロード＞登録開始を選択
3.クリッピング対応アカウントでESにログイン
4.アップロードしたファイルの右側の表示を確認</t>
  </si>
  <si>
    <t>G列の項目が表示されていること</t>
  </si>
  <si>
    <t>OCR結果については、Worker情報からUUIDで検索し、税込か税抜きかのどちらでOCR入力したかを確認する</t>
  </si>
  <si>
    <t>日本円/外資</t>
  </si>
  <si>
    <t>税込み/税抜き</t>
  </si>
  <si>
    <t>繰越額＋当月額</t>
  </si>
  <si>
    <t>送信ボタンが非活性で表示されていること</t>
  </si>
  <si>
    <t>1.TOKIUM＞請求書＞請求書を登録する＞一括登録を選択
2.任意の請求書ファイルをアップロード＞登録開始を選択
3.クリッピング対応アカウントでESにログイン
4.アップロードしたファイルのサジェスト状態を確認</t>
  </si>
  <si>
    <t>通常のサジェスト、またはAIサジェストで表示されていること</t>
  </si>
  <si>
    <t>ログを確認したところ、OCR入力の方がクリッピング入力受付よりも早いため、本ケースは確認できない</t>
  </si>
  <si>
    <t>1.TOKIUM＞請求書＞請求書を登録する＞一括登録を選択
2.任意の請求書ファイルをアップロード＞登録開始を選択
3.クリッピング対応アカウントでESにログイン
4.アップロードしたファイルの税入力（税込み/税抜き）を確認</t>
  </si>
  <si>
    <r>
      <rPr>
        <rFont val="Arial"/>
        <color rgb="FF4A86E8"/>
      </rPr>
      <t>税抜き</t>
    </r>
    <r>
      <rPr>
        <rFont val="Arial"/>
        <color theme="1"/>
      </rPr>
      <t>が選択されていること</t>
    </r>
  </si>
  <si>
    <r>
      <rPr>
        <rFont val="Arial"/>
        <color rgb="FF4A86E8"/>
      </rPr>
      <t>税抜き</t>
    </r>
    <r>
      <rPr>
        <rFont val="Arial"/>
        <color theme="1"/>
      </rPr>
      <t>が選択されていること</t>
    </r>
  </si>
  <si>
    <t>1.TOKIUM＞請求書＞請求書を登録する＞一括登録を選択
2.任意の請求書ファイルをアップロード＞登録開始を選択
3.クリッピング対応アカウントでESにログイン
4.アップロードしたファイルの各項目を設定して送信ボタンを押下
5.暫くしてTOKIUM＞請求書を確認する</t>
  </si>
  <si>
    <t>送信したファイルがデータ化していること</t>
  </si>
  <si>
    <t>ESのチップ入力で「入力不可」を3アカウントで選択して、クリッピングレーンに差し戻す</t>
  </si>
  <si>
    <t>北川追加項目</t>
  </si>
  <si>
    <t>上記に引き続き「OK」を選択する</t>
  </si>
  <si>
    <t>税設定を「税込」に変更してクリッピングし、送信を試みる
上記に続き、「キャンセル」する</t>
  </si>
  <si>
    <r>
      <rPr>
        <rFont val="Arial"/>
        <color theme="1"/>
      </rPr>
      <t>請求書（</t>
    </r>
    <r>
      <rPr>
        <rFont val="Arial"/>
        <color rgb="FFFF00FF"/>
      </rPr>
      <t>税込み</t>
    </r>
    <r>
      <rPr>
        <rFont val="Arial"/>
        <color theme="1"/>
      </rPr>
      <t>）からの自動入力</t>
    </r>
  </si>
  <si>
    <r>
      <rPr>
        <rFont val="Arial"/>
        <color rgb="FFFF00FF"/>
      </rPr>
      <t>税込み</t>
    </r>
    <r>
      <rPr>
        <rFont val="Arial"/>
        <color theme="1"/>
      </rPr>
      <t>が選択されていること</t>
    </r>
  </si>
  <si>
    <t>税設定を「税抜」に変更してクリッピングし、送信を試みる
上記に続き、「キャンセル」する</t>
  </si>
  <si>
    <r>
      <rPr>
        <rFont val="Arial"/>
        <color theme="1"/>
      </rPr>
      <t>請求書（</t>
    </r>
    <r>
      <rPr>
        <rFont val="Arial"/>
        <color rgb="FF4A86E8"/>
      </rPr>
      <t>税抜</t>
    </r>
    <r>
      <rPr>
        <rFont val="Arial"/>
        <color theme="1"/>
      </rPr>
      <t>+</t>
    </r>
    <r>
      <rPr>
        <rFont val="Arial"/>
        <color rgb="FFFF00FF"/>
      </rPr>
      <t>税込</t>
    </r>
    <r>
      <rPr>
        <rFont val="Arial"/>
        <color theme="1"/>
      </rPr>
      <t>）からの自動入力</t>
    </r>
  </si>
  <si>
    <r>
      <rPr>
        <rFont val="Arial"/>
        <color rgb="FFFF00FF"/>
      </rPr>
      <t>税込み</t>
    </r>
    <r>
      <rPr>
        <rFont val="Arial"/>
        <color theme="1"/>
      </rPr>
      <t>が選択されていること</t>
    </r>
  </si>
  <si>
    <r>
      <rPr>
        <rFont val="Arial"/>
        <color theme="1"/>
      </rPr>
      <t>請求書（</t>
    </r>
    <r>
      <rPr>
        <rFont val="Arial"/>
        <color rgb="FFFF9900"/>
      </rPr>
      <t>外貨</t>
    </r>
    <r>
      <rPr>
        <rFont val="Arial"/>
        <color theme="1"/>
      </rPr>
      <t>）からの自動入力</t>
    </r>
  </si>
  <si>
    <t>日本円/外貨の選択</t>
  </si>
  <si>
    <r>
      <rPr>
        <rFont val="Arial"/>
        <color rgb="FFFF9900"/>
      </rPr>
      <t>外貨</t>
    </r>
    <r>
      <rPr>
        <rFont val="Arial"/>
        <color theme="1"/>
      </rPr>
      <t>が選択されていること</t>
    </r>
  </si>
  <si>
    <t>ケース作成時点で日本円表示だったから起票かも</t>
  </si>
  <si>
    <t>OCR入力時点でJPY</t>
  </si>
  <si>
    <r>
      <rPr>
        <rFont val="Arial"/>
        <color rgb="FF4A86E8"/>
      </rPr>
      <t>税抜</t>
    </r>
    <r>
      <rPr>
        <rFont val="Arial"/>
        <color theme="1"/>
      </rPr>
      <t>が選択されていること</t>
    </r>
  </si>
  <si>
    <t>通貨をJPY、税設定を「税込」に変更してクリッピングし、送信を試みる</t>
  </si>
  <si>
    <t>通貨をJPY、税設定を「税込」に変更してクリッピングし、送信を試みる
上記に続き、「キャンセル」する</t>
  </si>
  <si>
    <t>通貨をJPY、税設定を「税抜」に変更してクリッピングし、送信を試みる</t>
  </si>
  <si>
    <t>通貨をJPY、税設定を「税抜」に変更してクリッピングし、送信を試みる
上記に続き、「キャンセル」する</t>
  </si>
  <si>
    <t>1.TOKIUM＞請求書＞請求書を登録する＞一括登録を選択
2.任意の請求書ファイルをアップロード＞登録開始を選択
3.クリッピング対応の練習問題の用のアカウントでESにログイン
4.表示されたファイルを確認</t>
  </si>
  <si>
    <t>OCRの読み込みがないこと</t>
  </si>
  <si>
    <t>テスト進捗</t>
  </si>
  <si>
    <t>残項目数</t>
  </si>
  <si>
    <t>総ケース数</t>
  </si>
  <si>
    <t>バグ発生数(起票数)</t>
  </si>
  <si>
    <t>バグ発生率</t>
  </si>
  <si>
    <t>テスト①</t>
  </si>
  <si>
    <t>↑バグ発生数÷テストケース数(再実施含まない)</t>
  </si>
  <si>
    <t>Win11/
Safari</t>
  </si>
  <si>
    <t>テスト②</t>
  </si>
  <si>
    <t>合計</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</si>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</sst>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4A86E8"/>
      <name val="Arial"/>
      <scheme val="minor"/>
    </font>
    <font>
      <color rgb="FFFF00FF"/>
      <name val="Arial"/>
      <scheme val="minor"/>
    </font>
    <font>
      <color rgb="FF000000"/>
      <name val="Arial"/>
      <scheme val="minor"/>
    </font>
    <font>
      <u/>
      <color rgb="FF0000FF"/>
    </font>
    <font>
      <u/>
      <color rgb="FF0000FF"/>
    </font>
    <font>
      <sz val="10.0"/>
      <color theme="1"/>
      <name val="Arial"/>
    </font>
    <font>
      <b/>
      <color theme="1"/>
      <name val="Meiryo"/>
    </font>
    <font>
      <sz val="11.0"/>
      <color rgb="FF000000"/>
      <name val="Meiryo"/>
    </font>
    <font>
      <sz val="14.0"/>
      <color rgb="FFFF9900"/>
      <name val="Arial"/>
    </font>
    <font>
      <sz val="14.0"/>
      <color theme="1"/>
      <name val="Arial"/>
    </font>
    <font>
      <sz val="11.0"/>
      <color theme="1"/>
      <name val="Meiryo"/>
    </font>
    <font>
      <sz val="10.0"/>
      <color rgb="FF000000"/>
      <name val="Arial"/>
    </font>
    <font>
      <u/>
      <color rgb="FF0000FF"/>
      <name val="Arial"/>
    </font>
    <font>
      <sz val="10.0"/>
      <color rgb="FFCCCCCC"/>
      <name val="Arial"/>
    </font>
    <font>
      <sz val="10.0"/>
      <color rgb="FF000000"/>
      <name val="Meiryo"/>
    </font>
    <font>
      <sz val="10.0"/>
      <color rgb="FFFFFFFF"/>
      <name val="Meiryo"/>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CCCCC"/>
        <bgColor rgb="FFCCCCCC"/>
      </patternFill>
    </fill>
    <fill>
      <patternFill patternType="solid">
        <fgColor rgb="FF51B396"/>
        <bgColor rgb="FF51B396"/>
      </patternFill>
    </fill>
    <fill>
      <patternFill patternType="solid">
        <fgColor rgb="FFFFFF00"/>
        <bgColor rgb="FFFFFF00"/>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right/>
      <top style="thin">
        <color rgb="FF000000"/>
      </top>
    </border>
  </borders>
  <cellStyleXfs count="1">
    <xf borderId="0" fillId="0" fontId="0" numFmtId="0" applyAlignment="1" applyFont="1"/>
  </cellStyleXfs>
  <cellXfs count="352">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0" fillId="0" fontId="3" numFmtId="0" xfId="0" applyAlignment="1" applyFont="1">
      <alignment horizontal="left" readingOrder="0" shrinkToFit="0" vertical="top" wrapText="0"/>
    </xf>
    <xf borderId="0" fillId="0" fontId="30"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7"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0" fillId="0" fontId="3" numFmtId="0" xfId="0" applyAlignment="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 fillId="0" fontId="31" numFmtId="0" xfId="0" applyAlignment="1" applyBorder="1" applyFont="1">
      <alignment readingOrder="0" shrinkToFit="0" wrapText="0"/>
    </xf>
    <xf borderId="4" fillId="0" fontId="3" numFmtId="0" xfId="0" applyAlignment="1" applyBorder="1" applyFont="1">
      <alignment readingOrder="0" shrinkToFit="0" wrapText="0"/>
    </xf>
    <xf borderId="6" fillId="8" fontId="3" numFmtId="0" xfId="0" applyAlignment="1" applyBorder="1" applyFill="1" applyFont="1">
      <alignment readingOrder="0" shrinkToFit="0" wrapText="0"/>
    </xf>
    <xf borderId="17" fillId="8" fontId="3" numFmtId="0" xfId="0" applyAlignment="1" applyBorder="1" applyFont="1">
      <alignment readingOrder="0" shrinkToFit="0" wrapText="0"/>
    </xf>
    <xf borderId="3" fillId="8" fontId="3" numFmtId="0" xfId="0" applyAlignment="1" applyBorder="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20" fillId="8" fontId="3" numFmtId="0" xfId="0" applyAlignment="1" applyBorder="1" applyFont="1">
      <alignment readingOrder="0" shrinkToFit="0" wrapText="0"/>
    </xf>
    <xf borderId="0" fillId="8" fontId="3" numFmtId="0" xfId="0" applyAlignment="1" applyFont="1">
      <alignment readingOrder="0" shrinkToFit="0" wrapText="0"/>
    </xf>
    <xf borderId="3" fillId="0" fontId="32" numFmtId="0" xfId="0" applyAlignment="1" applyBorder="1" applyFont="1">
      <alignment readingOrder="0" shrinkToFit="0" wrapText="0"/>
    </xf>
    <xf borderId="3" fillId="0" fontId="3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20" fillId="0" fontId="34" numFmtId="0" xfId="0" applyAlignment="1" applyBorder="1" applyFont="1">
      <alignment readingOrder="0"/>
    </xf>
    <xf borderId="33" fillId="0" fontId="3" numFmtId="0" xfId="0" applyAlignment="1" applyBorder="1" applyFont="1">
      <alignment shrinkToFit="0" wrapText="0"/>
    </xf>
    <xf borderId="26" fillId="0" fontId="35" numFmtId="0" xfId="0" applyAlignment="1" applyBorder="1" applyFont="1">
      <alignment readingOrder="0"/>
    </xf>
    <xf borderId="34" fillId="0" fontId="3" numFmtId="0" xfId="0" applyAlignment="1" applyBorder="1" applyFont="1">
      <alignment readingOrder="0"/>
    </xf>
    <xf borderId="0" fillId="0" fontId="20" numFmtId="0" xfId="0" applyAlignment="1" applyFont="1">
      <alignment vertical="top"/>
    </xf>
    <xf borderId="0" fillId="0" fontId="20" numFmtId="0" xfId="0" applyAlignment="1" applyFont="1">
      <alignment shrinkToFit="0" vertical="top" wrapText="1"/>
    </xf>
    <xf borderId="0" fillId="0" fontId="36" numFmtId="0" xfId="0" applyAlignment="1" applyFont="1">
      <alignment shrinkToFit="0" vertical="top" wrapText="1"/>
    </xf>
    <xf borderId="0" fillId="0" fontId="37" numFmtId="0" xfId="0" applyAlignment="1" applyFont="1">
      <alignment horizontal="center" shrinkToFit="0" wrapText="1"/>
    </xf>
    <xf borderId="0" fillId="0" fontId="37" numFmtId="0" xfId="0" applyAlignment="1" applyFont="1">
      <alignment horizontal="center" readingOrder="0" shrinkToFit="0" wrapText="1"/>
    </xf>
    <xf borderId="0" fillId="0" fontId="20" numFmtId="0" xfId="0" applyAlignment="1" applyFont="1">
      <alignment shrinkToFit="0" vertical="top" wrapText="1"/>
    </xf>
    <xf borderId="0" fillId="0" fontId="38" numFmtId="0" xfId="0" applyAlignment="1" applyFont="1">
      <alignment horizontal="left" shrinkToFit="0" vertical="top" wrapText="1"/>
    </xf>
    <xf borderId="0" fillId="0" fontId="39" numFmtId="0" xfId="0" applyAlignment="1" applyFont="1">
      <alignment readingOrder="0" vertical="top"/>
    </xf>
    <xf borderId="0" fillId="0" fontId="39" numFmtId="0" xfId="0" applyAlignment="1" applyFont="1">
      <alignment shrinkToFit="0" vertical="top" wrapText="1"/>
    </xf>
    <xf borderId="0" fillId="0" fontId="40" numFmtId="0" xfId="0" applyAlignment="1" applyFont="1">
      <alignment shrinkToFit="0" vertical="top" wrapText="1"/>
    </xf>
    <xf borderId="2" fillId="6" fontId="37" numFmtId="0" xfId="0" applyAlignment="1" applyBorder="1" applyFont="1">
      <alignment horizontal="center" shrinkToFit="0" wrapText="1"/>
    </xf>
    <xf borderId="2" fillId="6" fontId="37" numFmtId="0" xfId="0" applyAlignment="1" applyBorder="1" applyFont="1">
      <alignment horizontal="center" readingOrder="0" shrinkToFit="0"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1"/>
    </xf>
    <xf borderId="2" fillId="7" fontId="16" numFmtId="0" xfId="0" applyAlignment="1" applyBorder="1" applyFont="1">
      <alignment horizontal="center" readingOrder="0" shrinkToFit="0" wrapText="1"/>
    </xf>
    <xf borderId="35" fillId="5" fontId="27" numFmtId="0" xfId="0" applyAlignment="1" applyBorder="1" applyFont="1">
      <alignment horizontal="center" shrinkToFit="0" wrapText="1"/>
    </xf>
    <xf borderId="36" fillId="4" fontId="41" numFmtId="0" xfId="0" applyAlignment="1" applyBorder="1" applyFont="1">
      <alignment horizontal="center" shrinkToFit="0" wrapText="1"/>
    </xf>
    <xf borderId="37" fillId="4" fontId="41" numFmtId="0" xfId="0" applyAlignment="1" applyBorder="1" applyFont="1">
      <alignment horizontal="center" shrinkToFit="0" wrapText="1"/>
    </xf>
    <xf borderId="37" fillId="6" fontId="37" numFmtId="0" xfId="0" applyAlignment="1" applyBorder="1" applyFont="1">
      <alignment horizontal="center" readingOrder="0" shrinkToFit="0" wrapText="1"/>
    </xf>
    <xf borderId="37" fillId="6" fontId="41" numFmtId="0" xfId="0" applyAlignment="1" applyBorder="1" applyFont="1">
      <alignment horizontal="center" readingOrder="0" shrinkToFit="0" wrapText="1"/>
    </xf>
    <xf borderId="37" fillId="6" fontId="41" numFmtId="0" xfId="0" applyAlignment="1" applyBorder="1" applyFont="1">
      <alignment horizontal="center" shrinkToFit="0" wrapText="1"/>
    </xf>
    <xf borderId="36" fillId="6" fontId="41" numFmtId="0" xfId="0" applyAlignment="1" applyBorder="1" applyFont="1">
      <alignment horizontal="center" shrinkToFit="0" wrapText="1"/>
    </xf>
    <xf borderId="3" fillId="0" fontId="41" numFmtId="0" xfId="0" applyAlignment="1" applyBorder="1" applyFont="1">
      <alignment horizontal="center" shrinkToFit="0" vertical="top" wrapText="1"/>
    </xf>
    <xf borderId="6" fillId="0" fontId="42" numFmtId="0" xfId="0" applyAlignment="1" applyBorder="1" applyFont="1">
      <alignment readingOrder="0" shrinkToFit="0" vertical="top" wrapText="1"/>
    </xf>
    <xf borderId="6" fillId="0" fontId="3" numFmtId="0" xfId="0" applyAlignment="1" applyBorder="1" applyFont="1">
      <alignment readingOrder="0" shrinkToFit="0" vertical="top" wrapText="1"/>
    </xf>
    <xf borderId="35" fillId="0" fontId="3" numFmtId="0" xfId="0" applyAlignment="1" applyBorder="1" applyFont="1">
      <alignment readingOrder="0" shrinkToFit="0" vertical="top" wrapText="1"/>
    </xf>
    <xf borderId="4" fillId="0" fontId="3" numFmtId="0" xfId="0" applyAlignment="1" applyBorder="1" applyFont="1">
      <alignment readingOrder="0" shrinkToFit="0" vertical="top" wrapText="1"/>
    </xf>
    <xf borderId="2" fillId="0" fontId="36"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16" numFmtId="0" xfId="0" applyAlignment="1" applyBorder="1" applyFont="1">
      <alignment horizontal="center" readingOrder="0" shrinkToFit="0" vertical="top" wrapText="1"/>
    </xf>
    <xf borderId="2" fillId="0" fontId="43" numFmtId="0" xfId="0" applyAlignment="1" applyBorder="1" applyFont="1">
      <alignment readingOrder="0" shrinkToFit="0" vertical="top" wrapText="1"/>
    </xf>
    <xf borderId="20" fillId="0" fontId="42" numFmtId="0" xfId="0" applyAlignment="1" applyBorder="1" applyFont="1">
      <alignment shrinkToFit="0" vertical="top" wrapText="1"/>
    </xf>
    <xf borderId="20" fillId="0" fontId="3" numFmtId="0" xfId="0" applyAlignment="1" applyBorder="1" applyFont="1">
      <alignment readingOrder="0" shrinkToFit="0" vertical="top" wrapText="1"/>
    </xf>
    <xf borderId="7" fillId="0" fontId="3" numFmtId="0" xfId="0" applyAlignment="1" applyBorder="1" applyFont="1">
      <alignment readingOrder="0" shrinkToFit="0" vertical="top" wrapText="1"/>
    </xf>
    <xf borderId="4" fillId="0" fontId="3" numFmtId="0" xfId="0" applyAlignment="1" applyBorder="1" applyFont="1">
      <alignment readingOrder="0" shrinkToFit="0" vertical="top" wrapText="0"/>
    </xf>
    <xf borderId="2" fillId="0" fontId="20" numFmtId="0" xfId="0" applyAlignment="1" applyBorder="1" applyFont="1">
      <alignment shrinkToFit="0" vertical="top" wrapText="1"/>
    </xf>
    <xf borderId="20" fillId="0" fontId="42" numFmtId="0" xfId="0" applyAlignment="1" applyBorder="1" applyFont="1">
      <alignment shrinkToFit="0" vertical="top" wrapText="1"/>
    </xf>
    <xf borderId="3"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xf borderId="20" fillId="0" fontId="44" numFmtId="0" xfId="0" applyAlignment="1" applyBorder="1" applyFont="1">
      <alignment readingOrder="0" shrinkToFit="0" vertical="top" wrapText="1"/>
    </xf>
    <xf borderId="7" fillId="0" fontId="44" numFmtId="0" xfId="0" applyAlignment="1" applyBorder="1" applyFont="1">
      <alignment readingOrder="0" shrinkToFit="0" vertical="top" wrapText="1"/>
    </xf>
    <xf borderId="7" fillId="0" fontId="42" numFmtId="0" xfId="0" applyAlignment="1" applyBorder="1" applyFont="1">
      <alignment shrinkToFit="0" vertical="top" wrapText="1"/>
    </xf>
    <xf borderId="2" fillId="0" fontId="3" numFmtId="0" xfId="0" applyAlignment="1" applyBorder="1" applyFont="1">
      <alignment readingOrder="0" shrinkToFit="0" vertical="top" wrapText="1"/>
    </xf>
    <xf borderId="19" fillId="0" fontId="3" numFmtId="0" xfId="0" applyAlignment="1" applyBorder="1" applyFont="1">
      <alignment readingOrder="0" shrinkToFit="0" vertical="top" wrapText="1"/>
    </xf>
    <xf borderId="34" fillId="0" fontId="3" numFmtId="0" xfId="0" applyAlignment="1" applyBorder="1" applyFont="1">
      <alignment readingOrder="0" shrinkToFit="0" vertical="top" wrapText="1"/>
    </xf>
    <xf borderId="33" fillId="0" fontId="3" numFmtId="0" xfId="0" applyAlignment="1" applyBorder="1" applyFont="1">
      <alignment readingOrder="0" shrinkToFit="0" vertical="top" wrapText="1"/>
    </xf>
    <xf borderId="26" fillId="0" fontId="44" numFmtId="0" xfId="0" applyAlignment="1" applyBorder="1" applyFont="1">
      <alignment readingOrder="0" shrinkToFit="0" vertical="top" wrapText="1"/>
    </xf>
    <xf borderId="8" fillId="0" fontId="44" numFmtId="0" xfId="0" applyAlignment="1" applyBorder="1" applyFont="1">
      <alignment readingOrder="0" shrinkToFit="0" vertical="top" wrapText="1"/>
    </xf>
    <xf borderId="0" fillId="0" fontId="20" numFmtId="0" xfId="0" applyFont="1"/>
    <xf borderId="0" fillId="0" fontId="20" numFmtId="0" xfId="0" applyAlignment="1" applyFont="1">
      <alignment shrinkToFit="0" wrapText="1"/>
    </xf>
    <xf borderId="0" fillId="0" fontId="36" numFmtId="0" xfId="0" applyAlignment="1" applyFont="1">
      <alignment shrinkToFit="0" wrapText="1"/>
    </xf>
    <xf borderId="0" fillId="0" fontId="38" numFmtId="0" xfId="0" applyAlignment="1" applyFont="1">
      <alignment horizontal="center" shrinkToFit="0" vertical="top" wrapText="1"/>
    </xf>
    <xf borderId="0" fillId="0" fontId="45" numFmtId="0" xfId="0" applyAlignment="1" applyFont="1">
      <alignment horizontal="left" shrinkToFit="0" vertical="top" wrapText="1"/>
    </xf>
    <xf borderId="0" fillId="0" fontId="37" numFmtId="0" xfId="0" applyAlignment="1" applyFont="1">
      <alignment horizontal="center" shrinkToFit="0" wrapText="1"/>
    </xf>
    <xf borderId="38" fillId="6" fontId="37" numFmtId="0" xfId="0" applyAlignment="1" applyBorder="1" applyFont="1">
      <alignment horizontal="center" shrinkToFit="0" wrapText="1"/>
    </xf>
    <xf borderId="6" fillId="6" fontId="37" numFmtId="0" xfId="0" applyAlignment="1" applyBorder="1" applyFont="1">
      <alignment horizontal="center" shrinkToFit="0" wrapText="1"/>
    </xf>
    <xf borderId="37" fillId="9" fontId="46" numFmtId="0" xfId="0" applyAlignment="1" applyBorder="1" applyFill="1" applyFont="1">
      <alignment horizontal="center" readingOrder="0" shrinkToFit="0" wrapText="1"/>
    </xf>
    <xf borderId="20" fillId="0" fontId="42" numFmtId="0" xfId="0" applyAlignment="1" applyBorder="1" applyFont="1">
      <alignment readingOrder="0" shrinkToFit="0" vertical="top" wrapText="1"/>
    </xf>
    <xf borderId="3" fillId="10" fontId="41" numFmtId="0" xfId="0" applyAlignment="1" applyBorder="1" applyFill="1" applyFont="1">
      <alignment horizontal="center" shrinkToFit="0" vertical="top" wrapText="1"/>
    </xf>
    <xf borderId="5" fillId="0" fontId="3" numFmtId="0" xfId="0" applyAlignment="1" applyBorder="1" applyFont="1">
      <alignment readingOrder="0" shrinkToFit="0" vertical="top" wrapText="1"/>
    </xf>
    <xf borderId="3" fillId="0" fontId="42" numFmtId="0" xfId="0" applyAlignment="1" applyBorder="1" applyFont="1">
      <alignment readingOrder="0"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7" numFmtId="0" xfId="0" applyAlignment="1" applyBorder="1" applyFont="1">
      <alignment horizontal="right" vertical="bottom"/>
    </xf>
    <xf borderId="2" fillId="0" fontId="48" numFmtId="0" xfId="0" applyAlignment="1" applyBorder="1" applyFont="1">
      <alignment horizontal="right" vertical="bottom"/>
    </xf>
    <xf borderId="2" fillId="0" fontId="4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1" fontId="17" numFmtId="0" xfId="0" applyAlignment="1" applyBorder="1" applyFill="1" applyFont="1">
      <alignment readingOrder="0" vertical="top"/>
    </xf>
    <xf borderId="35" fillId="6" fontId="49" numFmtId="0" xfId="0" applyAlignment="1" applyBorder="1" applyFont="1">
      <alignment horizontal="center" readingOrder="0" shrinkToFit="0" vertical="top" wrapText="1"/>
    </xf>
    <xf borderId="5" fillId="6" fontId="49"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1" fontId="3" numFmtId="0" xfId="0" applyAlignment="1" applyBorder="1" applyFont="1">
      <alignment vertical="top"/>
    </xf>
    <xf borderId="2" fillId="6" fontId="49" numFmtId="0" xfId="0" applyAlignment="1" applyBorder="1" applyFont="1">
      <alignment horizontal="center" readingOrder="0" shrinkToFit="0" vertical="top" wrapText="1"/>
    </xf>
    <xf borderId="2" fillId="8" fontId="49" numFmtId="0" xfId="0" applyAlignment="1" applyBorder="1" applyFont="1">
      <alignment horizontal="center" readingOrder="0" shrinkToFit="0" vertical="top" wrapText="1"/>
    </xf>
    <xf borderId="2" fillId="8" fontId="3" numFmtId="0" xfId="0" applyBorder="1" applyFont="1"/>
    <xf borderId="8" fillId="11" fontId="3" numFmtId="0" xfId="0" applyAlignment="1" applyBorder="1" applyFont="1">
      <alignment vertical="top"/>
    </xf>
    <xf borderId="2" fillId="11"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1" fontId="8" numFmtId="0" xfId="0" applyAlignment="1" applyBorder="1" applyFont="1">
      <alignment horizontal="left" readingOrder="0" vertical="top"/>
    </xf>
    <xf borderId="35" fillId="11" fontId="8" numFmtId="0" xfId="0" applyAlignment="1" applyBorder="1" applyFont="1">
      <alignment horizontal="left" readingOrder="0" vertical="bottom"/>
    </xf>
    <xf borderId="2" fillId="11"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2"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50" numFmtId="0" xfId="0" applyAlignment="1" applyBorder="1" applyFont="1">
      <alignment readingOrder="0" vertical="top"/>
    </xf>
    <xf borderId="2" fillId="0" fontId="3" numFmtId="0" xfId="0" applyAlignment="1" applyBorder="1" applyFont="1">
      <alignment readingOrder="0" vertical="top"/>
    </xf>
    <xf borderId="0" fillId="0" fontId="51" numFmtId="0" xfId="0" applyAlignment="1" applyFont="1">
      <alignment readingOrder="0"/>
    </xf>
    <xf borderId="2" fillId="0" fontId="7" numFmtId="0" xfId="0" applyAlignment="1" applyBorder="1" applyFont="1">
      <alignment readingOrder="0" shrinkToFit="0" vertical="top" wrapText="1"/>
    </xf>
    <xf borderId="0" fillId="0" fontId="5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0" fillId="0" fontId="3" numFmtId="0" xfId="0" applyFont="1"/>
    <xf borderId="0" fillId="0" fontId="53" numFmtId="0" xfId="0" applyFont="1"/>
    <xf borderId="0" fillId="0" fontId="3" numFmtId="165" xfId="0" applyFont="1" applyNumberFormat="1"/>
    <xf borderId="2" fillId="4" fontId="8" numFmtId="0" xfId="0" applyAlignment="1" applyBorder="1" applyFont="1">
      <alignment horizontal="center" readingOrder="0" vertical="bottom"/>
    </xf>
    <xf borderId="8" fillId="16"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7" fontId="8" numFmtId="0" xfId="0" applyAlignment="1" applyBorder="1" applyFill="1" applyFont="1">
      <alignment horizontal="center" vertical="bottom"/>
    </xf>
    <xf borderId="5" fillId="0" fontId="54" numFmtId="0" xfId="0" applyBorder="1" applyFont="1"/>
    <xf borderId="4" fillId="17" fontId="8" numFmtId="0" xfId="0" applyAlignment="1" applyBorder="1" applyFont="1">
      <alignment horizontal="center" vertical="bottom"/>
    </xf>
    <xf borderId="19" fillId="17" fontId="8" numFmtId="0" xfId="0" applyAlignment="1" applyBorder="1" applyFont="1">
      <alignment horizontal="center" vertical="bottom"/>
    </xf>
    <xf borderId="2" fillId="17" fontId="8" numFmtId="0" xfId="0" applyAlignment="1" applyBorder="1" applyFont="1">
      <alignment horizontal="center" readingOrder="0" vertical="bottom"/>
    </xf>
    <xf borderId="8" fillId="17" fontId="8" numFmtId="0" xfId="0" applyAlignment="1" applyBorder="1" applyFont="1">
      <alignment horizontal="center" readingOrder="0" vertical="bottom"/>
    </xf>
    <xf borderId="2" fillId="17" fontId="8" numFmtId="0" xfId="0" applyAlignment="1" applyBorder="1" applyFont="1">
      <alignment horizontal="center" vertical="bottom"/>
    </xf>
    <xf borderId="34" fillId="17" fontId="8" numFmtId="0" xfId="0" applyAlignment="1" applyBorder="1" applyFont="1">
      <alignment horizontal="center" vertical="bottom"/>
    </xf>
    <xf borderId="34" fillId="0" fontId="5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54" numFmtId="0" xfId="0" applyBorder="1" applyFont="1"/>
    <xf borderId="34" fillId="0" fontId="8" numFmtId="0" xfId="0" applyAlignment="1" applyBorder="1" applyFont="1">
      <alignment shrinkToFit="0" vertical="bottom" wrapText="0"/>
    </xf>
    <xf borderId="8" fillId="0" fontId="5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5"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5"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8" fontId="55" numFmtId="0" xfId="0" applyAlignment="1" applyFill="1" applyFont="1">
      <alignment readingOrder="0"/>
    </xf>
    <xf borderId="0" fillId="18" fontId="56" numFmtId="0" xfId="0" applyFont="1"/>
    <xf borderId="0" fillId="18" fontId="56" numFmtId="0" xfId="0" applyAlignment="1" applyFont="1">
      <alignment readingOrder="0"/>
    </xf>
    <xf borderId="27" fillId="0" fontId="20" numFmtId="0" xfId="0" applyAlignment="1" applyBorder="1" applyFont="1">
      <alignment vertical="bottom"/>
    </xf>
    <xf borderId="5" fillId="19" fontId="20" numFmtId="0" xfId="0" applyAlignment="1" applyBorder="1" applyFill="1" applyFont="1">
      <alignment vertical="bottom"/>
    </xf>
    <xf borderId="8" fillId="0" fontId="20" numFmtId="0" xfId="0" applyAlignment="1" applyBorder="1" applyFont="1">
      <alignment vertical="bottom"/>
    </xf>
    <xf borderId="27" fillId="0" fontId="5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54" numFmtId="0" xfId="0" applyBorder="1" applyFont="1"/>
    <xf borderId="3" fillId="5" fontId="3" numFmtId="0" xfId="0" applyAlignment="1" applyBorder="1" applyFont="1">
      <alignment readingOrder="0"/>
    </xf>
    <xf borderId="5" fillId="19"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507374990"/>
        <c:axId val="199007998"/>
      </c:lineChart>
      <c:catAx>
        <c:axId val="1507374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9007998"/>
      </c:catAx>
      <c:valAx>
        <c:axId val="1990079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737499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296316294"/>
        <c:axId val="981367821"/>
      </c:lineChart>
      <c:catAx>
        <c:axId val="12963162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981367821"/>
      </c:catAx>
      <c:valAx>
        <c:axId val="9813678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631629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削除されたユーザー" id="{fe705357-2de4-48d1-b57a-980d18981e1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17T00:19:25.00" personId="{fe705357-2de4-48d1-b57a-980d18981e18}" id="{2ea3609a-158a-465e-9021-36f5f8920fbf}" done="0">
    <x18tc:text xml:space="preserve">バックエンド(動作周り）の確認のため、複数ブラウザでの確認は不要かと</x18tc:text>
  </x18tc:threadedComment>
  <x18tc:threadedComment ref="A1" dT="2025-10-17T00:24:40.00" personId="{fe705357-2de4-48d1-b57a-980d18981e18}" id="{89edfdc6-77ad-472a-8570-65be21040bdc}" done="0">
    <x18tc:text xml:space="preserve">オペレータサジェストがある場合は全項目クリップ済みで活性化している場合がある。
送信可能条件を満たさないで送信できないことを観点とします</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10-17T01:31:12.00" personId="{fe705357-2de4-48d1-b57a-980d18981e18}" id="{c265fa0a-70d5-43a0-b810-4d370c6032ef}" done="1">
    <x18tc:text xml:space="preserve">AIクリッピング前、かな</x18tc:text>
  </x18tc:threadedComment>
  <x18tc:threadedComment ref="I8" dT="2025-10-17T01:30:59.00" personId="{fe705357-2de4-48d1-b57a-980d18981e18}" id="{511e3419-24f2-44d2-ab9e-f64ce60f2c08}" done="1">
    <x18tc:text xml:space="preserve">期待結果としては「税抜」で領域がサジェストされていることかと</x18tc:text>
  </x18tc:threadedComment>
  <x18tc:threadedComment ref="F5" dT="2025-10-17T01:58:21.00" personId="{fe705357-2de4-48d1-b57a-980d18981e18}" id="{2a6293cb-c385-492e-b217-c51f02538c37}" done="1">
    <x18tc:text xml:space="preserve">税抜設定時の表示であることを確認すればいい</x18tc:text>
  </x18tc:threadedComment>
  <x18tc:threadedComment ref="I15" dT="2025-10-17T01:39:51.00" personId="{fe705357-2de4-48d1-b57a-980d18981e18}" id="{e8c5f162-b2f1-40e2-b31d-2b7c4b121709}" done="1">
    <x18tc:text xml:space="preserve">OCRで判断した税種別(この場合は税抜)で表示されること、の方がよさそうか</x18tc:text>
  </x18tc:threadedComment>
  <x18tc:threadedComment ref="I9" dT="2025-10-17T00:23:34.00" personId="{fe705357-2de4-48d1-b57a-980d18981e18}" id="{0efd5434-8d85-4d16-a577-35843c4c92a6}" done="1">
    <x18tc:text xml:space="preserve">AIサジェストが有効な場合はAIによる特徴的なサジェストが表示される</x18tc:text>
  </x18tc:threadedComment>
  <x18tc:threadedComment ref="F11" dT="2025-10-17T01:57:42.00" personId="{fe705357-2de4-48d1-b57a-980d18981e18}" id="{2db76b6f-bd73-466d-a876-ceade2009492}" done="1">
    <x18tc:text xml:space="preserve">観点を補完</x18tc:text>
  </x18tc:threadedComment>
  <x18tc:threadedComment ref="F9" dT="2025-10-17T01:31:25.00" personId="{fe705357-2de4-48d1-b57a-980d18981e18}" id="{609d0c8a-06d1-4c22-9004-32bdb2e89e31}" done="1">
    <x18tc:text xml:space="preserve">AIクリッピング後、かと</x18tc:text>
  </x18tc:threadedComment>
  <x18tc:threadedComment ref="I8" dT="2025-10-17T00:23:11.00" personId="{fe705357-2de4-48d1-b57a-980d18981e18}" id="{a36d64f4-45ec-4ed3-8eb2-ecd44792686f}" done="1">
    <x18tc:text xml:space="preserve">OCR＝クリップサジェストのことなので、オペレータのサジェストが表示または非表示であること(設定による)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qjouvtPcRRuq7eg7WcYznFRmMbOXGI4Fubb6qJ1-KA/edit?pli=1&amp;gid=765471682"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docs.google.com/spreadsheets/d/1wh6Z4twhbYbKhJbysczRRsjM8pkDpkmLRocCG1pco-g/edit" TargetMode="External"/><Relationship Id="rId6" Type="http://schemas.openxmlformats.org/officeDocument/2006/relationships/hyperlink" Target="https://docs.google.com/spreadsheets/d/1Iimc03WKfcmfLyiBbmZbtfcC9RUjtgdF4O8aosLOoFk/edit?gid=1313577871" TargetMode="External"/><Relationship Id="rId7" Type="http://schemas.openxmlformats.org/officeDocument/2006/relationships/hyperlink" Target="https://docs.google.com/spreadsheets/d/1flvqVgReHsZYZa-aAdE46ixwuvpJ_Regafid6LaLrrk/edit?gid=0" TargetMode="External"/><Relationship Id="rId8" Type="http://schemas.openxmlformats.org/officeDocument/2006/relationships/hyperlink" Target="https://docs.google.com/spreadsheets/d/1flvqVgReHsZYZa-aAdE46ixwuvpJ_Regafid6LaLrrk/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4977" TargetMode="External"/><Relationship Id="rId2" Type="http://schemas.openxmlformats.org/officeDocument/2006/relationships/hyperlink" Target="https://beartail.slack.com/archives/C02QY42J0UE/p175912573140821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mailto:kitagawa_t+stg-all2@tokium.jp" TargetMode="External"/><Relationship Id="rId5" Type="http://schemas.openxmlformats.org/officeDocument/2006/relationships/hyperlink" Target="mailto:kitagawa_t+ti-all9@tokium.jp" TargetMode="External"/><Relationship Id="rId6" Type="http://schemas.openxmlformats.org/officeDocument/2006/relationships/hyperlink" Target="mailto:kitagawa_t+ti-all10@tokium.jp"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beartail.atlassian.net/browse/ES-5440" TargetMode="External"/><Relationship Id="rId10" Type="http://schemas.openxmlformats.org/officeDocument/2006/relationships/hyperlink" Target="https://beartail.atlassian.net/browse/ES-5439" TargetMode="External"/><Relationship Id="rId13" Type="http://schemas.openxmlformats.org/officeDocument/2006/relationships/drawing" Target="../drawings/drawing3.xml"/><Relationship Id="rId12" Type="http://schemas.openxmlformats.org/officeDocument/2006/relationships/hyperlink" Target="https://beartail.atlassian.net/browse/ES-5439"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beartail.atlassian.net/browse/ES-5439" TargetMode="External"/><Relationship Id="rId9" Type="http://schemas.openxmlformats.org/officeDocument/2006/relationships/hyperlink" Target="https://beartail.atlassian.net/browse/ES-5439" TargetMode="External"/><Relationship Id="rId14" Type="http://schemas.openxmlformats.org/officeDocument/2006/relationships/vmlDrawing" Target="../drawings/vmlDrawing2.vml"/><Relationship Id="rId5" Type="http://schemas.openxmlformats.org/officeDocument/2006/relationships/hyperlink" Target="https://beartail.atlassian.net/browse/ES-5439" TargetMode="External"/><Relationship Id="rId6" Type="http://schemas.openxmlformats.org/officeDocument/2006/relationships/hyperlink" Target="https://beartail.atlassian.net/browse/ES-5439" TargetMode="External"/><Relationship Id="rId7" Type="http://schemas.openxmlformats.org/officeDocument/2006/relationships/hyperlink" Target="https://beartail.atlassian.net/browse/ES-5439" TargetMode="External"/><Relationship Id="rId8" Type="http://schemas.openxmlformats.org/officeDocument/2006/relationships/hyperlink" Target="https://beartail.atlassian.net/browse/ES-543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4" location="gid=765471682" ref="C15"/>
    <hyperlink r:id="rId5" location="gid=0" ref="C16"/>
    <hyperlink r:id="rId6" location="gid=1313577871" ref="C18"/>
    <hyperlink r:id="rId7" location="gid=0" ref="E22"/>
    <hyperlink r:id="rId8" location="gid=0" ref="E23"/>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42</v>
      </c>
      <c r="C4" s="89"/>
      <c r="D4" s="89"/>
      <c r="E4" s="89"/>
      <c r="F4" s="90"/>
      <c r="H4" s="91" t="s">
        <v>98</v>
      </c>
      <c r="I4" s="92" t="s">
        <v>99</v>
      </c>
    </row>
    <row r="5">
      <c r="A5" s="34"/>
      <c r="B5" s="93"/>
      <c r="F5" s="94"/>
      <c r="H5" s="95" t="s">
        <v>100</v>
      </c>
      <c r="I5" s="58" t="s">
        <v>42</v>
      </c>
      <c r="J5" s="34"/>
    </row>
    <row r="6">
      <c r="A6" s="34"/>
      <c r="B6" s="96"/>
      <c r="C6" s="97"/>
      <c r="D6" s="97"/>
      <c r="E6" s="97"/>
      <c r="F6" s="98"/>
      <c r="H6" s="91" t="s">
        <v>101</v>
      </c>
      <c r="I6" s="92" t="s">
        <v>102</v>
      </c>
      <c r="J6" s="34"/>
    </row>
    <row r="7">
      <c r="A7" s="34"/>
      <c r="B7" s="34"/>
      <c r="C7" s="34"/>
      <c r="J7" s="34"/>
    </row>
    <row r="8">
      <c r="A8" s="34"/>
      <c r="B8" s="99"/>
      <c r="C8" s="34"/>
      <c r="D8" s="34"/>
      <c r="J8" s="34"/>
    </row>
    <row r="9">
      <c r="A9" s="34"/>
      <c r="B9" s="84" t="s">
        <v>103</v>
      </c>
      <c r="C9" s="85"/>
      <c r="D9" s="85"/>
      <c r="J9" s="34"/>
    </row>
    <row r="10">
      <c r="A10" s="34"/>
      <c r="B10" s="100" t="s">
        <v>104</v>
      </c>
      <c r="D10" s="34"/>
      <c r="E10" s="101" t="s">
        <v>105</v>
      </c>
      <c r="H10" s="101" t="s">
        <v>106</v>
      </c>
      <c r="J10" s="34"/>
      <c r="K10" s="100" t="s">
        <v>107</v>
      </c>
      <c r="L10" s="102" t="s">
        <v>108</v>
      </c>
      <c r="N10" s="100" t="s">
        <v>109</v>
      </c>
      <c r="O10" s="103"/>
    </row>
    <row r="11">
      <c r="A11" s="34"/>
      <c r="B11" s="104" t="s">
        <v>110</v>
      </c>
      <c r="C11" s="105" t="s">
        <v>8</v>
      </c>
      <c r="E11" s="106" t="s">
        <v>111</v>
      </c>
      <c r="F11" s="105" t="s">
        <v>8</v>
      </c>
      <c r="H11" s="106" t="s">
        <v>112</v>
      </c>
      <c r="I11" s="105" t="s">
        <v>42</v>
      </c>
      <c r="J11" s="34"/>
      <c r="K11" s="107" t="s">
        <v>113</v>
      </c>
      <c r="L11" s="105" t="s">
        <v>42</v>
      </c>
      <c r="N11" s="107" t="s">
        <v>114</v>
      </c>
      <c r="O11" s="105" t="s">
        <v>42</v>
      </c>
    </row>
    <row r="12">
      <c r="A12" s="34"/>
      <c r="B12" s="108" t="s">
        <v>115</v>
      </c>
      <c r="C12" s="105" t="s">
        <v>42</v>
      </c>
      <c r="E12" s="106" t="s">
        <v>116</v>
      </c>
      <c r="F12" s="105" t="s">
        <v>8</v>
      </c>
      <c r="H12" s="106" t="s">
        <v>117</v>
      </c>
      <c r="I12" s="105" t="s">
        <v>42</v>
      </c>
      <c r="J12" s="34"/>
      <c r="K12" s="109" t="s">
        <v>118</v>
      </c>
      <c r="L12" s="105" t="s">
        <v>42</v>
      </c>
      <c r="N12" s="109" t="s">
        <v>119</v>
      </c>
      <c r="O12" s="105" t="s">
        <v>42</v>
      </c>
    </row>
    <row r="13">
      <c r="A13" s="34"/>
      <c r="B13" s="110" t="s">
        <v>120</v>
      </c>
      <c r="C13" s="105" t="s">
        <v>8</v>
      </c>
      <c r="H13" s="106" t="s">
        <v>121</v>
      </c>
      <c r="I13" s="105" t="s">
        <v>42</v>
      </c>
      <c r="J13" s="34"/>
      <c r="K13" s="109" t="s">
        <v>122</v>
      </c>
      <c r="L13" s="105" t="s">
        <v>42</v>
      </c>
      <c r="N13" s="109" t="s">
        <v>123</v>
      </c>
      <c r="O13" s="105" t="s">
        <v>42</v>
      </c>
    </row>
    <row r="14">
      <c r="A14" s="34"/>
      <c r="B14" s="108" t="s">
        <v>124</v>
      </c>
      <c r="C14" s="105" t="s">
        <v>42</v>
      </c>
      <c r="E14" s="101" t="s">
        <v>125</v>
      </c>
      <c r="F14" s="58"/>
      <c r="H14" s="106" t="s">
        <v>126</v>
      </c>
      <c r="I14" s="105" t="s">
        <v>42</v>
      </c>
      <c r="J14" s="34"/>
      <c r="K14" s="109" t="s">
        <v>127</v>
      </c>
      <c r="L14" s="105" t="s">
        <v>42</v>
      </c>
      <c r="N14" s="109" t="s">
        <v>128</v>
      </c>
      <c r="O14" s="105" t="s">
        <v>42</v>
      </c>
    </row>
    <row r="15">
      <c r="A15" s="34"/>
      <c r="B15" s="108" t="s">
        <v>129</v>
      </c>
      <c r="C15" s="105" t="s">
        <v>42</v>
      </c>
      <c r="E15" s="106" t="s">
        <v>130</v>
      </c>
      <c r="F15" s="105" t="s">
        <v>8</v>
      </c>
      <c r="H15" s="106" t="s">
        <v>131</v>
      </c>
      <c r="I15" s="105" t="s">
        <v>42</v>
      </c>
      <c r="J15" s="34"/>
      <c r="K15" s="111" t="s">
        <v>132</v>
      </c>
      <c r="L15" s="105" t="s">
        <v>8</v>
      </c>
      <c r="N15" s="111" t="s">
        <v>133</v>
      </c>
      <c r="O15" s="105" t="s">
        <v>42</v>
      </c>
    </row>
    <row r="16">
      <c r="A16" s="34"/>
      <c r="B16" s="109" t="s">
        <v>134</v>
      </c>
      <c r="C16" s="105" t="s">
        <v>42</v>
      </c>
      <c r="E16" s="106" t="s">
        <v>135</v>
      </c>
      <c r="F16" s="105" t="s">
        <v>8</v>
      </c>
      <c r="H16" s="106" t="s">
        <v>136</v>
      </c>
      <c r="I16" s="105" t="s">
        <v>42</v>
      </c>
      <c r="J16" s="34"/>
      <c r="K16" s="111" t="s">
        <v>137</v>
      </c>
      <c r="L16" s="105" t="s">
        <v>42</v>
      </c>
    </row>
    <row r="17">
      <c r="A17" s="34"/>
      <c r="B17" s="101"/>
      <c r="C17" s="112"/>
      <c r="D17" s="34"/>
      <c r="E17" s="106" t="s">
        <v>138</v>
      </c>
      <c r="F17" s="105" t="s">
        <v>8</v>
      </c>
      <c r="H17" s="106" t="s">
        <v>139</v>
      </c>
      <c r="I17" s="105" t="s">
        <v>42</v>
      </c>
      <c r="J17" s="34"/>
      <c r="K17" s="111" t="s">
        <v>140</v>
      </c>
      <c r="L17" s="105" t="s">
        <v>42</v>
      </c>
    </row>
    <row r="18">
      <c r="A18" s="34"/>
      <c r="B18" s="101"/>
      <c r="C18" s="112"/>
      <c r="D18" s="34"/>
      <c r="E18" s="106" t="s">
        <v>141</v>
      </c>
      <c r="F18" s="105" t="s">
        <v>8</v>
      </c>
      <c r="H18" s="106" t="s">
        <v>142</v>
      </c>
      <c r="I18" s="105" t="s">
        <v>42</v>
      </c>
      <c r="J18" s="34"/>
      <c r="K18" s="113" t="s">
        <v>143</v>
      </c>
      <c r="L18" s="105" t="s">
        <v>8</v>
      </c>
    </row>
    <row r="19">
      <c r="A19" s="34"/>
      <c r="H19" s="106" t="s">
        <v>144</v>
      </c>
      <c r="I19" s="105" t="s">
        <v>42</v>
      </c>
      <c r="J19" s="34"/>
      <c r="K19" s="111" t="s">
        <v>145</v>
      </c>
      <c r="L19" s="105" t="s">
        <v>42</v>
      </c>
    </row>
    <row r="20">
      <c r="A20" s="34"/>
      <c r="H20" s="106" t="s">
        <v>146</v>
      </c>
      <c r="I20" s="105" t="s">
        <v>42</v>
      </c>
      <c r="J20" s="34"/>
      <c r="K20" s="114" t="s">
        <v>147</v>
      </c>
      <c r="L20" s="105" t="s">
        <v>42</v>
      </c>
    </row>
    <row r="21">
      <c r="A21" s="34"/>
      <c r="H21" s="106" t="s">
        <v>148</v>
      </c>
      <c r="I21" s="105" t="s">
        <v>42</v>
      </c>
      <c r="J21" s="34"/>
      <c r="K21" s="113" t="s">
        <v>149</v>
      </c>
      <c r="L21" s="105" t="s">
        <v>42</v>
      </c>
    </row>
    <row r="22">
      <c r="A22" s="34"/>
      <c r="J22" s="34"/>
      <c r="K22" s="113" t="s">
        <v>150</v>
      </c>
      <c r="L22" s="105" t="s">
        <v>42</v>
      </c>
      <c r="M22" s="115"/>
    </row>
    <row r="23">
      <c r="A23" s="34"/>
      <c r="J23" s="34"/>
      <c r="K23" s="113" t="s">
        <v>151</v>
      </c>
      <c r="L23" s="105" t="s">
        <v>42</v>
      </c>
    </row>
    <row r="24">
      <c r="A24" s="34"/>
      <c r="B24" s="34"/>
      <c r="C24" s="34"/>
      <c r="D24" s="34"/>
      <c r="G24" s="34"/>
      <c r="J24" s="34"/>
      <c r="K24" s="116" t="s">
        <v>152</v>
      </c>
      <c r="L24" s="105"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6" t="s">
        <v>153</v>
      </c>
      <c r="L25" s="105" t="s">
        <v>42</v>
      </c>
    </row>
    <row r="26">
      <c r="A26" s="34"/>
      <c r="E26" s="101"/>
      <c r="F26" s="112"/>
    </row>
    <row r="27">
      <c r="A27" s="34"/>
      <c r="B27" s="117" t="s">
        <v>154</v>
      </c>
      <c r="C27" s="118"/>
      <c r="D27" s="119"/>
    </row>
    <row r="28">
      <c r="A28" s="34"/>
      <c r="B28" s="120" t="s">
        <v>155</v>
      </c>
      <c r="C28" s="112"/>
      <c r="D28" s="34"/>
    </row>
    <row r="29">
      <c r="A29" s="34"/>
      <c r="B29" s="120" t="s">
        <v>156</v>
      </c>
      <c r="D29" s="34"/>
    </row>
    <row r="30">
      <c r="A30" s="34"/>
      <c r="B30" s="120" t="s">
        <v>157</v>
      </c>
      <c r="C30" s="121"/>
      <c r="D30" s="34"/>
    </row>
    <row r="31">
      <c r="A31" s="34"/>
      <c r="B31" s="120"/>
      <c r="C31" s="112"/>
      <c r="D31" s="34"/>
    </row>
    <row r="32">
      <c r="A32" s="34"/>
      <c r="B32" s="101"/>
      <c r="C32" s="112"/>
      <c r="D32" s="34"/>
    </row>
    <row r="33">
      <c r="A33" s="34"/>
      <c r="B33" s="120" t="s">
        <v>155</v>
      </c>
      <c r="C33" s="122" t="s">
        <v>158</v>
      </c>
      <c r="D33" s="34"/>
    </row>
    <row r="34">
      <c r="A34" s="34"/>
      <c r="B34" s="123" t="s">
        <v>159</v>
      </c>
      <c r="C34" s="124"/>
      <c r="D34" s="124"/>
      <c r="E34" s="125" t="s">
        <v>160</v>
      </c>
      <c r="F34" s="126"/>
      <c r="G34" s="125" t="s">
        <v>161</v>
      </c>
      <c r="H34" s="126"/>
      <c r="I34" s="127"/>
      <c r="J34" s="126" t="s">
        <v>162</v>
      </c>
      <c r="K34" s="126"/>
      <c r="L34" s="126"/>
      <c r="M34" s="128" t="s">
        <v>163</v>
      </c>
      <c r="N34" s="129"/>
      <c r="O34" s="130"/>
      <c r="P34" s="131"/>
    </row>
    <row r="35">
      <c r="A35" s="34"/>
      <c r="B35" s="132" t="s">
        <v>164</v>
      </c>
      <c r="C35" s="133"/>
      <c r="D35" s="133"/>
      <c r="E35" s="132" t="s">
        <v>165</v>
      </c>
      <c r="F35" s="134"/>
      <c r="G35" s="132" t="s">
        <v>166</v>
      </c>
      <c r="H35" s="134"/>
      <c r="I35" s="134"/>
      <c r="J35" s="132" t="s">
        <v>167</v>
      </c>
      <c r="K35" s="134"/>
      <c r="L35" s="134"/>
      <c r="M35" s="135" t="s">
        <v>168</v>
      </c>
      <c r="N35" s="136"/>
      <c r="O35" s="137"/>
      <c r="P35" s="138"/>
    </row>
    <row r="36">
      <c r="A36" s="34"/>
      <c r="B36" s="139"/>
      <c r="C36" s="140"/>
      <c r="D36" s="140"/>
      <c r="E36" s="139"/>
      <c r="F36" s="131"/>
      <c r="G36" s="139"/>
      <c r="H36" s="138"/>
      <c r="I36" s="138"/>
      <c r="J36" s="132"/>
      <c r="K36" s="134"/>
      <c r="L36" s="134"/>
      <c r="M36" s="135" t="s">
        <v>169</v>
      </c>
      <c r="N36" s="136"/>
      <c r="O36" s="137"/>
      <c r="P36" s="138"/>
    </row>
    <row r="37">
      <c r="A37" s="34"/>
      <c r="B37" s="139"/>
      <c r="C37" s="140"/>
      <c r="D37" s="140"/>
      <c r="E37" s="139"/>
      <c r="F37" s="131"/>
      <c r="G37" s="139"/>
      <c r="H37" s="138"/>
      <c r="I37" s="138"/>
      <c r="J37" s="132" t="s">
        <v>170</v>
      </c>
      <c r="K37" s="134"/>
      <c r="L37" s="134"/>
      <c r="M37" s="135" t="s">
        <v>171</v>
      </c>
      <c r="N37" s="136"/>
      <c r="O37" s="137"/>
      <c r="P37" s="131"/>
      <c r="Q37" s="58"/>
    </row>
    <row r="38" ht="17.25" customHeight="1">
      <c r="A38" s="34"/>
      <c r="B38" s="139"/>
      <c r="C38" s="140"/>
      <c r="D38" s="140"/>
      <c r="E38" s="139"/>
      <c r="F38" s="138"/>
      <c r="G38" s="139"/>
      <c r="H38" s="138"/>
      <c r="I38" s="138"/>
      <c r="J38" s="132" t="s">
        <v>172</v>
      </c>
      <c r="K38" s="134"/>
      <c r="L38" s="134"/>
      <c r="M38" s="135" t="s">
        <v>173</v>
      </c>
      <c r="N38" s="136"/>
      <c r="O38" s="137"/>
      <c r="P38" s="138"/>
      <c r="Q38" s="58"/>
    </row>
    <row r="39">
      <c r="A39" s="34"/>
      <c r="B39" s="139"/>
      <c r="C39" s="140"/>
      <c r="D39" s="140"/>
      <c r="E39" s="139"/>
      <c r="F39" s="138"/>
      <c r="G39" s="139"/>
      <c r="H39" s="138"/>
      <c r="I39" s="138"/>
      <c r="J39" s="132" t="s">
        <v>174</v>
      </c>
      <c r="K39" s="134"/>
      <c r="L39" s="134"/>
      <c r="M39" s="135" t="s">
        <v>173</v>
      </c>
      <c r="N39" s="136"/>
      <c r="O39" s="137"/>
      <c r="P39" s="140"/>
      <c r="Q39" s="34"/>
    </row>
    <row r="40" ht="17.25" customHeight="1">
      <c r="A40" s="34"/>
      <c r="B40" s="139"/>
      <c r="C40" s="140"/>
      <c r="D40" s="140"/>
      <c r="E40" s="139"/>
      <c r="F40" s="138"/>
      <c r="G40" s="139"/>
      <c r="H40" s="138"/>
      <c r="I40" s="138"/>
      <c r="J40" s="132" t="s">
        <v>175</v>
      </c>
      <c r="K40" s="134"/>
      <c r="L40" s="134"/>
      <c r="M40" s="141" t="s">
        <v>176</v>
      </c>
      <c r="N40" s="136"/>
      <c r="O40" s="137"/>
      <c r="P40" s="34"/>
      <c r="Q40" s="140"/>
    </row>
    <row r="41">
      <c r="A41" s="34"/>
      <c r="B41" s="139"/>
      <c r="C41" s="140"/>
      <c r="D41" s="140"/>
      <c r="E41" s="139"/>
      <c r="F41" s="131"/>
      <c r="G41" s="139"/>
      <c r="H41" s="138"/>
      <c r="I41" s="138"/>
      <c r="J41" s="135" t="s">
        <v>177</v>
      </c>
      <c r="K41" s="142"/>
      <c r="L41" s="142"/>
      <c r="M41" s="135" t="s">
        <v>178</v>
      </c>
      <c r="N41" s="136"/>
      <c r="O41" s="137"/>
      <c r="P41" s="34"/>
      <c r="Q41" s="140"/>
    </row>
    <row r="42">
      <c r="A42" s="34"/>
      <c r="B42" s="139"/>
      <c r="C42" s="140"/>
      <c r="D42" s="140"/>
      <c r="E42" s="139"/>
      <c r="F42" s="138"/>
      <c r="G42" s="139"/>
      <c r="H42" s="138"/>
      <c r="I42" s="138"/>
      <c r="J42" s="143" t="s">
        <v>179</v>
      </c>
      <c r="K42" s="144"/>
      <c r="L42" s="144"/>
      <c r="M42" s="145" t="s">
        <v>180</v>
      </c>
      <c r="N42" s="146"/>
      <c r="O42" s="147"/>
      <c r="P42" s="34"/>
      <c r="Q42" s="140"/>
    </row>
    <row r="43">
      <c r="A43" s="34"/>
      <c r="B43" s="139"/>
      <c r="C43" s="140"/>
      <c r="D43" s="140"/>
      <c r="E43" s="139"/>
      <c r="F43" s="138"/>
      <c r="G43" s="139"/>
      <c r="H43" s="138"/>
      <c r="I43" s="138"/>
      <c r="J43" s="148"/>
      <c r="K43" s="149"/>
      <c r="L43" s="149"/>
      <c r="M43" s="145" t="s">
        <v>181</v>
      </c>
      <c r="N43" s="146"/>
      <c r="O43" s="147"/>
      <c r="P43" s="34"/>
      <c r="Q43" s="34"/>
    </row>
    <row r="44">
      <c r="A44" s="34"/>
      <c r="B44" s="139"/>
      <c r="C44" s="140"/>
      <c r="D44" s="140"/>
      <c r="E44" s="139"/>
      <c r="F44" s="138"/>
      <c r="G44" s="139"/>
      <c r="H44" s="138"/>
      <c r="I44" s="138"/>
      <c r="J44" s="148"/>
      <c r="K44" s="149"/>
      <c r="L44" s="149"/>
      <c r="M44" s="145" t="s">
        <v>182</v>
      </c>
      <c r="N44" s="146"/>
      <c r="O44" s="147"/>
      <c r="P44" s="140" t="s">
        <v>183</v>
      </c>
      <c r="Q44" s="34"/>
    </row>
    <row r="45">
      <c r="A45" s="34"/>
      <c r="B45" s="139"/>
      <c r="C45" s="140"/>
      <c r="D45" s="140"/>
      <c r="E45" s="139"/>
      <c r="F45" s="138"/>
      <c r="G45" s="139"/>
      <c r="H45" s="138"/>
      <c r="I45" s="138"/>
      <c r="J45" s="148"/>
      <c r="K45" s="149"/>
      <c r="L45" s="149"/>
      <c r="M45" s="145" t="s">
        <v>181</v>
      </c>
      <c r="N45" s="146"/>
      <c r="O45" s="147"/>
      <c r="P45" s="34"/>
      <c r="Q45" s="34"/>
    </row>
    <row r="46">
      <c r="A46" s="34"/>
      <c r="B46" s="139"/>
      <c r="C46" s="140"/>
      <c r="D46" s="140"/>
      <c r="E46" s="139"/>
      <c r="F46" s="131"/>
      <c r="G46" s="139"/>
      <c r="H46" s="138"/>
      <c r="I46" s="138"/>
      <c r="J46" s="148"/>
      <c r="K46" s="149"/>
      <c r="L46" s="149"/>
      <c r="M46" s="145" t="s">
        <v>184</v>
      </c>
      <c r="N46" s="146"/>
      <c r="O46" s="147"/>
      <c r="P46" s="34"/>
      <c r="Q46" s="140"/>
    </row>
    <row r="47">
      <c r="A47" s="34"/>
      <c r="B47" s="139"/>
      <c r="C47" s="140"/>
      <c r="D47" s="140"/>
      <c r="E47" s="139"/>
      <c r="F47" s="138"/>
      <c r="G47" s="139"/>
      <c r="H47" s="138"/>
      <c r="I47" s="138"/>
      <c r="J47" s="132" t="s">
        <v>185</v>
      </c>
      <c r="K47" s="134"/>
      <c r="L47" s="134"/>
      <c r="M47" s="135" t="s">
        <v>186</v>
      </c>
      <c r="N47" s="136"/>
      <c r="O47" s="137"/>
      <c r="P47" s="34"/>
      <c r="Q47" s="34"/>
    </row>
    <row r="48">
      <c r="A48" s="34"/>
      <c r="B48" s="139"/>
      <c r="C48" s="140"/>
      <c r="D48" s="140"/>
      <c r="E48" s="139"/>
      <c r="F48" s="138"/>
      <c r="G48" s="139"/>
      <c r="H48" s="138"/>
      <c r="I48" s="138"/>
      <c r="J48" s="143" t="s">
        <v>187</v>
      </c>
      <c r="K48" s="144"/>
      <c r="L48" s="144"/>
      <c r="M48" s="145" t="s">
        <v>188</v>
      </c>
      <c r="N48" s="146"/>
      <c r="O48" s="147"/>
      <c r="P48" s="140" t="s">
        <v>189</v>
      </c>
      <c r="Q48" s="140"/>
    </row>
    <row r="49">
      <c r="A49" s="34"/>
      <c r="B49" s="139"/>
      <c r="C49" s="140"/>
      <c r="D49" s="140"/>
      <c r="E49" s="139"/>
      <c r="F49" s="138"/>
      <c r="G49" s="139"/>
      <c r="H49" s="138"/>
      <c r="I49" s="138"/>
      <c r="J49" s="135" t="s">
        <v>190</v>
      </c>
      <c r="K49" s="142"/>
      <c r="L49" s="142"/>
      <c r="M49" s="135" t="s">
        <v>188</v>
      </c>
      <c r="N49" s="136"/>
      <c r="O49" s="137"/>
      <c r="P49" s="34"/>
      <c r="Q49" s="34"/>
    </row>
    <row r="50">
      <c r="A50" s="34"/>
      <c r="B50" s="139"/>
      <c r="C50" s="140"/>
      <c r="D50" s="140"/>
      <c r="E50" s="139"/>
      <c r="F50" s="138"/>
      <c r="G50" s="132" t="s">
        <v>191</v>
      </c>
      <c r="H50" s="134"/>
      <c r="I50" s="134"/>
      <c r="J50" s="132" t="s">
        <v>167</v>
      </c>
      <c r="K50" s="134"/>
      <c r="L50" s="134"/>
      <c r="M50" s="135" t="s">
        <v>168</v>
      </c>
      <c r="N50" s="136"/>
      <c r="O50" s="137"/>
      <c r="P50" s="34"/>
      <c r="Q50" s="34"/>
    </row>
    <row r="51">
      <c r="A51" s="34"/>
      <c r="B51" s="139"/>
      <c r="C51" s="140"/>
      <c r="D51" s="140"/>
      <c r="E51" s="139"/>
      <c r="F51" s="138"/>
      <c r="G51" s="139"/>
      <c r="H51" s="138"/>
      <c r="I51" s="138"/>
      <c r="J51" s="132"/>
      <c r="K51" s="134"/>
      <c r="L51" s="134"/>
      <c r="M51" s="135" t="s">
        <v>169</v>
      </c>
      <c r="N51" s="136"/>
      <c r="O51" s="137"/>
      <c r="P51" s="34"/>
      <c r="Q51" s="34"/>
    </row>
    <row r="52">
      <c r="A52" s="34"/>
      <c r="B52" s="139"/>
      <c r="C52" s="140"/>
      <c r="D52" s="140"/>
      <c r="E52" s="139"/>
      <c r="F52" s="138"/>
      <c r="G52" s="139"/>
      <c r="H52" s="138"/>
      <c r="I52" s="138"/>
      <c r="J52" s="132" t="s">
        <v>170</v>
      </c>
      <c r="K52" s="134"/>
      <c r="L52" s="134"/>
      <c r="M52" s="135" t="s">
        <v>171</v>
      </c>
      <c r="N52" s="136"/>
      <c r="O52" s="137"/>
      <c r="P52" s="34"/>
      <c r="Q52" s="34"/>
    </row>
    <row r="53">
      <c r="A53" s="34"/>
      <c r="B53" s="139"/>
      <c r="C53" s="140"/>
      <c r="D53" s="140"/>
      <c r="E53" s="139"/>
      <c r="F53" s="138"/>
      <c r="G53" s="139"/>
      <c r="H53" s="138"/>
      <c r="I53" s="138"/>
      <c r="J53" s="132" t="s">
        <v>172</v>
      </c>
      <c r="K53" s="134"/>
      <c r="L53" s="134"/>
      <c r="M53" s="135" t="s">
        <v>173</v>
      </c>
      <c r="N53" s="136"/>
      <c r="O53" s="137"/>
      <c r="P53" s="140"/>
      <c r="Q53" s="34"/>
    </row>
    <row r="54">
      <c r="A54" s="34"/>
      <c r="B54" s="139"/>
      <c r="C54" s="140"/>
      <c r="D54" s="140"/>
      <c r="E54" s="139"/>
      <c r="F54" s="131"/>
      <c r="G54" s="139"/>
      <c r="H54" s="138"/>
      <c r="I54" s="138"/>
      <c r="J54" s="132" t="s">
        <v>174</v>
      </c>
      <c r="K54" s="134"/>
      <c r="L54" s="134"/>
      <c r="M54" s="135" t="s">
        <v>173</v>
      </c>
      <c r="N54" s="136"/>
      <c r="O54" s="137"/>
      <c r="P54" s="140"/>
      <c r="Q54" s="140"/>
    </row>
    <row r="55">
      <c r="A55" s="34"/>
      <c r="B55" s="139"/>
      <c r="C55" s="140"/>
      <c r="D55" s="140"/>
      <c r="E55" s="139"/>
      <c r="F55" s="131"/>
      <c r="G55" s="139"/>
      <c r="H55" s="138"/>
      <c r="I55" s="138"/>
      <c r="J55" s="132" t="s">
        <v>175</v>
      </c>
      <c r="K55" s="134"/>
      <c r="L55" s="134"/>
      <c r="M55" s="150" t="s">
        <v>192</v>
      </c>
      <c r="N55" s="136"/>
      <c r="O55" s="137"/>
      <c r="P55" s="34"/>
      <c r="Q55" s="140"/>
    </row>
    <row r="56">
      <c r="A56" s="34"/>
      <c r="B56" s="139"/>
      <c r="C56" s="140"/>
      <c r="D56" s="140"/>
      <c r="E56" s="139"/>
      <c r="F56" s="131"/>
      <c r="G56" s="139"/>
      <c r="H56" s="138"/>
      <c r="I56" s="138"/>
      <c r="J56" s="135" t="s">
        <v>177</v>
      </c>
      <c r="K56" s="142"/>
      <c r="L56" s="142"/>
      <c r="M56" s="135" t="s">
        <v>178</v>
      </c>
      <c r="N56" s="136"/>
      <c r="O56" s="137"/>
      <c r="P56" s="34"/>
      <c r="Q56" s="140"/>
    </row>
    <row r="57">
      <c r="A57" s="34"/>
      <c r="B57" s="139"/>
      <c r="C57" s="140"/>
      <c r="D57" s="140"/>
      <c r="E57" s="139"/>
      <c r="F57" s="131"/>
      <c r="G57" s="139"/>
      <c r="H57" s="138"/>
      <c r="I57" s="138"/>
      <c r="J57" s="143" t="s">
        <v>179</v>
      </c>
      <c r="K57" s="144"/>
      <c r="L57" s="144"/>
      <c r="M57" s="145" t="s">
        <v>180</v>
      </c>
      <c r="N57" s="146"/>
      <c r="O57" s="147"/>
      <c r="P57" s="34"/>
      <c r="Q57" s="140"/>
    </row>
    <row r="58">
      <c r="A58" s="34"/>
      <c r="B58" s="139"/>
      <c r="C58" s="140"/>
      <c r="D58" s="140"/>
      <c r="E58" s="139"/>
      <c r="F58" s="131"/>
      <c r="G58" s="139"/>
      <c r="H58" s="138"/>
      <c r="I58" s="138"/>
      <c r="J58" s="148"/>
      <c r="K58" s="149"/>
      <c r="L58" s="149"/>
      <c r="M58" s="145" t="s">
        <v>181</v>
      </c>
      <c r="N58" s="146"/>
      <c r="O58" s="147"/>
      <c r="P58" s="34"/>
      <c r="Q58" s="140"/>
    </row>
    <row r="59">
      <c r="A59" s="34"/>
      <c r="B59" s="139"/>
      <c r="C59" s="140"/>
      <c r="D59" s="140"/>
      <c r="E59" s="139"/>
      <c r="F59" s="138"/>
      <c r="G59" s="139"/>
      <c r="H59" s="138"/>
      <c r="I59" s="138"/>
      <c r="J59" s="148"/>
      <c r="K59" s="149"/>
      <c r="L59" s="149"/>
      <c r="M59" s="145" t="s">
        <v>182</v>
      </c>
      <c r="N59" s="146"/>
      <c r="O59" s="147"/>
      <c r="P59" s="34"/>
      <c r="Q59" s="34"/>
    </row>
    <row r="60">
      <c r="A60" s="34"/>
      <c r="B60" s="139"/>
      <c r="C60" s="140"/>
      <c r="D60" s="140"/>
      <c r="E60" s="139"/>
      <c r="F60" s="138"/>
      <c r="G60" s="139"/>
      <c r="H60" s="138"/>
      <c r="I60" s="138"/>
      <c r="J60" s="148"/>
      <c r="K60" s="149"/>
      <c r="L60" s="149"/>
      <c r="M60" s="145" t="s">
        <v>181</v>
      </c>
      <c r="N60" s="146"/>
      <c r="O60" s="147"/>
      <c r="P60" s="140" t="s">
        <v>183</v>
      </c>
      <c r="Q60" s="34"/>
    </row>
    <row r="61">
      <c r="A61" s="34"/>
      <c r="B61" s="139"/>
      <c r="C61" s="140"/>
      <c r="D61" s="140"/>
      <c r="E61" s="139"/>
      <c r="F61" s="138"/>
      <c r="G61" s="139"/>
      <c r="H61" s="138"/>
      <c r="I61" s="138"/>
      <c r="J61" s="148"/>
      <c r="K61" s="149"/>
      <c r="L61" s="149"/>
      <c r="M61" s="145" t="s">
        <v>184</v>
      </c>
      <c r="N61" s="146"/>
      <c r="O61" s="147"/>
      <c r="P61" s="34"/>
      <c r="Q61" s="34"/>
    </row>
    <row r="62">
      <c r="A62" s="34"/>
      <c r="B62" s="139"/>
      <c r="C62" s="140"/>
      <c r="D62" s="140"/>
      <c r="E62" s="139"/>
      <c r="F62" s="138"/>
      <c r="G62" s="139"/>
      <c r="H62" s="138"/>
      <c r="I62" s="138"/>
      <c r="J62" s="132" t="s">
        <v>185</v>
      </c>
      <c r="K62" s="134"/>
      <c r="L62" s="134"/>
      <c r="M62" s="135" t="s">
        <v>186</v>
      </c>
      <c r="N62" s="136"/>
      <c r="O62" s="137"/>
      <c r="P62" s="34"/>
      <c r="Q62" s="34"/>
    </row>
    <row r="63">
      <c r="A63" s="34"/>
      <c r="B63" s="139"/>
      <c r="C63" s="140"/>
      <c r="D63" s="140"/>
      <c r="E63" s="139"/>
      <c r="F63" s="138"/>
      <c r="G63" s="139"/>
      <c r="H63" s="138"/>
      <c r="I63" s="138"/>
      <c r="J63" s="143" t="s">
        <v>187</v>
      </c>
      <c r="K63" s="144"/>
      <c r="L63" s="144"/>
      <c r="M63" s="145" t="s">
        <v>188</v>
      </c>
      <c r="N63" s="146"/>
      <c r="O63" s="147"/>
      <c r="P63" s="140" t="s">
        <v>189</v>
      </c>
      <c r="Q63" s="34"/>
    </row>
    <row r="64">
      <c r="A64" s="34"/>
      <c r="B64" s="139"/>
      <c r="C64" s="140"/>
      <c r="D64" s="140"/>
      <c r="E64" s="139"/>
      <c r="F64" s="138"/>
      <c r="G64" s="139"/>
      <c r="H64" s="138"/>
      <c r="I64" s="138"/>
      <c r="J64" s="135" t="s">
        <v>190</v>
      </c>
      <c r="K64" s="142"/>
      <c r="L64" s="142"/>
      <c r="M64" s="135" t="s">
        <v>188</v>
      </c>
      <c r="N64" s="136"/>
      <c r="O64" s="137"/>
      <c r="P64" s="34"/>
      <c r="Q64" s="34"/>
    </row>
    <row r="65">
      <c r="A65" s="34"/>
      <c r="B65" s="139"/>
      <c r="C65" s="140"/>
      <c r="D65" s="140"/>
      <c r="E65" s="139"/>
      <c r="F65" s="138"/>
      <c r="G65" s="132" t="s">
        <v>193</v>
      </c>
      <c r="H65" s="134"/>
      <c r="I65" s="134"/>
      <c r="J65" s="132" t="s">
        <v>167</v>
      </c>
      <c r="K65" s="134"/>
      <c r="L65" s="134"/>
      <c r="M65" s="135" t="s">
        <v>168</v>
      </c>
      <c r="N65" s="136"/>
      <c r="O65" s="137"/>
      <c r="P65" s="34"/>
      <c r="Q65" s="34"/>
    </row>
    <row r="66">
      <c r="A66" s="34"/>
      <c r="B66" s="139"/>
      <c r="C66" s="140"/>
      <c r="D66" s="140"/>
      <c r="E66" s="139"/>
      <c r="F66" s="138"/>
      <c r="G66" s="139"/>
      <c r="H66" s="138"/>
      <c r="I66" s="138"/>
      <c r="J66" s="132"/>
      <c r="K66" s="134"/>
      <c r="L66" s="134"/>
      <c r="M66" s="135" t="s">
        <v>169</v>
      </c>
      <c r="N66" s="136"/>
      <c r="O66" s="137"/>
      <c r="P66" s="34"/>
      <c r="Q66" s="34"/>
    </row>
    <row r="67">
      <c r="A67" s="34"/>
      <c r="B67" s="139"/>
      <c r="C67" s="140"/>
      <c r="D67" s="140"/>
      <c r="E67" s="139"/>
      <c r="F67" s="138"/>
      <c r="G67" s="139"/>
      <c r="H67" s="138"/>
      <c r="I67" s="138"/>
      <c r="J67" s="132" t="s">
        <v>170</v>
      </c>
      <c r="K67" s="134"/>
      <c r="L67" s="134"/>
      <c r="M67" s="135" t="s">
        <v>171</v>
      </c>
      <c r="N67" s="136"/>
      <c r="O67" s="137"/>
      <c r="P67" s="34"/>
      <c r="Q67" s="34"/>
    </row>
    <row r="68">
      <c r="A68" s="34"/>
      <c r="B68" s="139"/>
      <c r="C68" s="140"/>
      <c r="D68" s="140"/>
      <c r="E68" s="139"/>
      <c r="F68" s="131"/>
      <c r="G68" s="139"/>
      <c r="H68" s="138"/>
      <c r="I68" s="138"/>
      <c r="J68" s="132" t="s">
        <v>172</v>
      </c>
      <c r="K68" s="134"/>
      <c r="L68" s="134"/>
      <c r="M68" s="135" t="s">
        <v>173</v>
      </c>
      <c r="N68" s="136"/>
      <c r="O68" s="137"/>
      <c r="P68" s="140"/>
      <c r="Q68" s="34"/>
    </row>
    <row r="69">
      <c r="A69" s="34"/>
      <c r="B69" s="139"/>
      <c r="C69" s="140"/>
      <c r="D69" s="140"/>
      <c r="E69" s="139"/>
      <c r="F69" s="131"/>
      <c r="G69" s="139"/>
      <c r="H69" s="138"/>
      <c r="I69" s="138"/>
      <c r="J69" s="132" t="s">
        <v>174</v>
      </c>
      <c r="K69" s="134"/>
      <c r="L69" s="134"/>
      <c r="M69" s="135" t="s">
        <v>173</v>
      </c>
      <c r="N69" s="136"/>
      <c r="O69" s="137"/>
      <c r="P69" s="140"/>
      <c r="Q69" s="34"/>
    </row>
    <row r="70">
      <c r="A70" s="34"/>
      <c r="B70" s="139"/>
      <c r="C70" s="140"/>
      <c r="D70" s="140"/>
      <c r="E70" s="139"/>
      <c r="F70" s="131"/>
      <c r="G70" s="139"/>
      <c r="H70" s="138"/>
      <c r="I70" s="138"/>
      <c r="J70" s="132" t="s">
        <v>175</v>
      </c>
      <c r="K70" s="134"/>
      <c r="L70" s="134"/>
      <c r="M70" s="150" t="s">
        <v>194</v>
      </c>
      <c r="N70" s="136"/>
      <c r="O70" s="137"/>
      <c r="P70" s="34"/>
      <c r="Q70" s="34"/>
    </row>
    <row r="71">
      <c r="A71" s="34"/>
      <c r="B71" s="139"/>
      <c r="C71" s="140"/>
      <c r="D71" s="140"/>
      <c r="E71" s="139"/>
      <c r="F71" s="131"/>
      <c r="G71" s="139"/>
      <c r="H71" s="138"/>
      <c r="I71" s="138"/>
      <c r="J71" s="135" t="s">
        <v>177</v>
      </c>
      <c r="K71" s="142"/>
      <c r="L71" s="142"/>
      <c r="M71" s="135" t="s">
        <v>178</v>
      </c>
      <c r="N71" s="136"/>
      <c r="O71" s="137"/>
      <c r="P71" s="34"/>
      <c r="Q71" s="34"/>
    </row>
    <row r="72">
      <c r="A72" s="34"/>
      <c r="B72" s="139"/>
      <c r="C72" s="140"/>
      <c r="D72" s="140"/>
      <c r="E72" s="139"/>
      <c r="F72" s="131"/>
      <c r="G72" s="139"/>
      <c r="H72" s="138"/>
      <c r="I72" s="138"/>
      <c r="J72" s="143" t="s">
        <v>179</v>
      </c>
      <c r="K72" s="144"/>
      <c r="L72" s="144"/>
      <c r="M72" s="145" t="s">
        <v>180</v>
      </c>
      <c r="N72" s="146"/>
      <c r="O72" s="147"/>
      <c r="P72" s="34"/>
      <c r="Q72" s="34"/>
    </row>
    <row r="73">
      <c r="A73" s="34"/>
      <c r="B73" s="139"/>
      <c r="C73" s="140"/>
      <c r="D73" s="140"/>
      <c r="E73" s="139"/>
      <c r="F73" s="131"/>
      <c r="G73" s="139"/>
      <c r="H73" s="138"/>
      <c r="I73" s="138"/>
      <c r="J73" s="148"/>
      <c r="K73" s="149"/>
      <c r="L73" s="149"/>
      <c r="M73" s="145" t="s">
        <v>181</v>
      </c>
      <c r="N73" s="146"/>
      <c r="O73" s="147"/>
      <c r="P73" s="34"/>
      <c r="Q73" s="34"/>
    </row>
    <row r="74">
      <c r="A74" s="34"/>
      <c r="B74" s="139"/>
      <c r="C74" s="140"/>
      <c r="D74" s="140"/>
      <c r="E74" s="139"/>
      <c r="F74" s="131"/>
      <c r="G74" s="139"/>
      <c r="H74" s="138"/>
      <c r="I74" s="138"/>
      <c r="J74" s="148"/>
      <c r="K74" s="149"/>
      <c r="L74" s="149"/>
      <c r="M74" s="145" t="s">
        <v>182</v>
      </c>
      <c r="N74" s="146"/>
      <c r="O74" s="147"/>
      <c r="P74" s="34"/>
      <c r="Q74" s="34"/>
    </row>
    <row r="75">
      <c r="A75" s="34"/>
      <c r="B75" s="139"/>
      <c r="C75" s="140"/>
      <c r="D75" s="140"/>
      <c r="E75" s="139"/>
      <c r="F75" s="131"/>
      <c r="G75" s="139"/>
      <c r="H75" s="138"/>
      <c r="I75" s="138"/>
      <c r="J75" s="148"/>
      <c r="K75" s="149"/>
      <c r="L75" s="149"/>
      <c r="M75" s="145" t="s">
        <v>181</v>
      </c>
      <c r="N75" s="146"/>
      <c r="O75" s="147"/>
      <c r="P75" s="140" t="s">
        <v>183</v>
      </c>
      <c r="Q75" s="34"/>
    </row>
    <row r="76">
      <c r="A76" s="34"/>
      <c r="B76" s="139"/>
      <c r="C76" s="140"/>
      <c r="D76" s="140"/>
      <c r="E76" s="139"/>
      <c r="F76" s="131"/>
      <c r="G76" s="139"/>
      <c r="H76" s="138"/>
      <c r="I76" s="138"/>
      <c r="J76" s="148"/>
      <c r="K76" s="149"/>
      <c r="L76" s="149"/>
      <c r="M76" s="145" t="s">
        <v>184</v>
      </c>
      <c r="N76" s="146"/>
      <c r="O76" s="147"/>
      <c r="P76" s="34"/>
      <c r="Q76" s="34"/>
    </row>
    <row r="77">
      <c r="A77" s="34"/>
      <c r="B77" s="139"/>
      <c r="C77" s="140"/>
      <c r="D77" s="140"/>
      <c r="E77" s="139"/>
      <c r="F77" s="131"/>
      <c r="G77" s="139"/>
      <c r="H77" s="138"/>
      <c r="I77" s="138"/>
      <c r="J77" s="132" t="s">
        <v>185</v>
      </c>
      <c r="K77" s="134"/>
      <c r="L77" s="134"/>
      <c r="M77" s="135" t="s">
        <v>186</v>
      </c>
      <c r="N77" s="136"/>
      <c r="O77" s="137"/>
      <c r="P77" s="34"/>
      <c r="Q77" s="34"/>
    </row>
    <row r="78">
      <c r="A78" s="34"/>
      <c r="B78" s="139"/>
      <c r="C78" s="140"/>
      <c r="D78" s="140"/>
      <c r="E78" s="139"/>
      <c r="F78" s="131"/>
      <c r="G78" s="139"/>
      <c r="H78" s="138"/>
      <c r="I78" s="138"/>
      <c r="J78" s="143" t="s">
        <v>187</v>
      </c>
      <c r="K78" s="144"/>
      <c r="L78" s="144"/>
      <c r="M78" s="145" t="s">
        <v>188</v>
      </c>
      <c r="N78" s="146"/>
      <c r="O78" s="147"/>
      <c r="P78" s="140" t="s">
        <v>189</v>
      </c>
      <c r="Q78" s="34"/>
    </row>
    <row r="79">
      <c r="A79" s="34"/>
      <c r="B79" s="139"/>
      <c r="C79" s="140"/>
      <c r="D79" s="140"/>
      <c r="E79" s="139"/>
      <c r="F79" s="138"/>
      <c r="G79" s="139"/>
      <c r="H79" s="138"/>
      <c r="I79" s="138"/>
      <c r="J79" s="135" t="s">
        <v>190</v>
      </c>
      <c r="K79" s="142"/>
      <c r="L79" s="142"/>
      <c r="M79" s="135" t="s">
        <v>188</v>
      </c>
      <c r="N79" s="136"/>
      <c r="O79" s="137"/>
      <c r="P79" s="34"/>
      <c r="Q79" s="34"/>
    </row>
    <row r="80">
      <c r="A80" s="34"/>
      <c r="B80" s="139"/>
      <c r="C80" s="140"/>
      <c r="D80" s="140"/>
      <c r="E80" s="139"/>
      <c r="F80" s="138"/>
      <c r="G80" s="132" t="s">
        <v>195</v>
      </c>
      <c r="H80" s="134"/>
      <c r="I80" s="134"/>
      <c r="J80" s="132" t="s">
        <v>167</v>
      </c>
      <c r="K80" s="134"/>
      <c r="L80" s="134"/>
      <c r="M80" s="135" t="s">
        <v>168</v>
      </c>
      <c r="N80" s="136"/>
      <c r="O80" s="137"/>
      <c r="P80" s="131"/>
    </row>
    <row r="81">
      <c r="A81" s="34"/>
      <c r="B81" s="139"/>
      <c r="C81" s="140"/>
      <c r="D81" s="140"/>
      <c r="E81" s="139"/>
      <c r="F81" s="138"/>
      <c r="G81" s="139"/>
      <c r="H81" s="138"/>
      <c r="I81" s="138"/>
      <c r="J81" s="132"/>
      <c r="K81" s="134"/>
      <c r="L81" s="134"/>
      <c r="M81" s="135" t="s">
        <v>169</v>
      </c>
      <c r="N81" s="136"/>
      <c r="O81" s="137"/>
      <c r="P81" s="131"/>
    </row>
    <row r="82">
      <c r="A82" s="34"/>
      <c r="B82" s="139"/>
      <c r="C82" s="140"/>
      <c r="D82" s="140"/>
      <c r="E82" s="139"/>
      <c r="F82" s="138"/>
      <c r="G82" s="139"/>
      <c r="H82" s="138"/>
      <c r="I82" s="138"/>
      <c r="J82" s="132" t="s">
        <v>170</v>
      </c>
      <c r="K82" s="134"/>
      <c r="L82" s="134"/>
      <c r="M82" s="135" t="s">
        <v>171</v>
      </c>
      <c r="N82" s="136"/>
      <c r="O82" s="137"/>
      <c r="P82" s="131"/>
    </row>
    <row r="83">
      <c r="A83" s="34"/>
      <c r="B83" s="139"/>
      <c r="C83" s="140"/>
      <c r="D83" s="140"/>
      <c r="E83" s="139"/>
      <c r="F83" s="138"/>
      <c r="G83" s="139"/>
      <c r="H83" s="138"/>
      <c r="I83" s="138"/>
      <c r="J83" s="132" t="s">
        <v>172</v>
      </c>
      <c r="K83" s="134"/>
      <c r="L83" s="134"/>
      <c r="M83" s="135" t="s">
        <v>173</v>
      </c>
      <c r="N83" s="136"/>
      <c r="O83" s="137"/>
      <c r="P83" s="138"/>
    </row>
    <row r="84">
      <c r="A84" s="34"/>
      <c r="B84" s="139"/>
      <c r="C84" s="140"/>
      <c r="D84" s="140"/>
      <c r="E84" s="139"/>
      <c r="F84" s="138"/>
      <c r="G84" s="139"/>
      <c r="H84" s="138"/>
      <c r="I84" s="138"/>
      <c r="J84" s="132" t="s">
        <v>174</v>
      </c>
      <c r="K84" s="134"/>
      <c r="L84" s="134"/>
      <c r="M84" s="135" t="s">
        <v>173</v>
      </c>
      <c r="N84" s="136"/>
      <c r="O84" s="137"/>
      <c r="P84" s="138"/>
    </row>
    <row r="85">
      <c r="A85" s="34"/>
      <c r="B85" s="139"/>
      <c r="C85" s="140"/>
      <c r="D85" s="140"/>
      <c r="E85" s="139"/>
      <c r="F85" s="138"/>
      <c r="G85" s="139"/>
      <c r="H85" s="138"/>
      <c r="I85" s="138"/>
      <c r="J85" s="132" t="s">
        <v>196</v>
      </c>
      <c r="K85" s="134"/>
      <c r="L85" s="134"/>
      <c r="M85" s="151" t="s">
        <v>197</v>
      </c>
      <c r="N85" s="136"/>
      <c r="O85" s="137"/>
      <c r="P85" s="131"/>
    </row>
    <row r="86">
      <c r="A86" s="34"/>
      <c r="B86" s="139"/>
      <c r="C86" s="140"/>
      <c r="D86" s="140"/>
      <c r="E86" s="139"/>
      <c r="F86" s="138"/>
      <c r="G86" s="139"/>
      <c r="H86" s="138"/>
      <c r="I86" s="138"/>
      <c r="J86" s="132" t="s">
        <v>175</v>
      </c>
      <c r="K86" s="134"/>
      <c r="L86" s="134"/>
      <c r="M86" s="141" t="s">
        <v>176</v>
      </c>
      <c r="N86" s="136"/>
      <c r="O86" s="137"/>
      <c r="P86" s="131"/>
    </row>
    <row r="87">
      <c r="A87" s="34"/>
      <c r="B87" s="139"/>
      <c r="C87" s="140"/>
      <c r="D87" s="140"/>
      <c r="E87" s="139"/>
      <c r="F87" s="138"/>
      <c r="G87" s="139"/>
      <c r="H87" s="138"/>
      <c r="I87" s="138"/>
      <c r="J87" s="135" t="s">
        <v>177</v>
      </c>
      <c r="K87" s="142"/>
      <c r="L87" s="142"/>
      <c r="M87" s="135" t="s">
        <v>178</v>
      </c>
      <c r="N87" s="136"/>
      <c r="O87" s="137"/>
      <c r="P87" s="131"/>
    </row>
    <row r="88">
      <c r="A88" s="34"/>
      <c r="B88" s="139"/>
      <c r="C88" s="140"/>
      <c r="D88" s="140"/>
      <c r="E88" s="139"/>
      <c r="F88" s="138"/>
      <c r="G88" s="139"/>
      <c r="H88" s="138"/>
      <c r="I88" s="138"/>
      <c r="J88" s="143" t="s">
        <v>179</v>
      </c>
      <c r="K88" s="144"/>
      <c r="L88" s="144"/>
      <c r="M88" s="145" t="s">
        <v>180</v>
      </c>
      <c r="N88" s="146"/>
      <c r="O88" s="147"/>
      <c r="P88" s="131"/>
    </row>
    <row r="89">
      <c r="A89" s="34"/>
      <c r="B89" s="139"/>
      <c r="C89" s="140"/>
      <c r="D89" s="140"/>
      <c r="E89" s="139"/>
      <c r="F89" s="138"/>
      <c r="G89" s="139"/>
      <c r="H89" s="138"/>
      <c r="I89" s="138"/>
      <c r="J89" s="148"/>
      <c r="K89" s="149"/>
      <c r="L89" s="149"/>
      <c r="M89" s="145" t="s">
        <v>181</v>
      </c>
      <c r="N89" s="146"/>
      <c r="O89" s="147"/>
      <c r="P89" s="131"/>
    </row>
    <row r="90">
      <c r="A90" s="34"/>
      <c r="B90" s="139"/>
      <c r="C90" s="140"/>
      <c r="D90" s="140"/>
      <c r="E90" s="139"/>
      <c r="F90" s="138"/>
      <c r="G90" s="139"/>
      <c r="H90" s="138"/>
      <c r="I90" s="138"/>
      <c r="J90" s="148"/>
      <c r="K90" s="149"/>
      <c r="L90" s="149"/>
      <c r="M90" s="145" t="s">
        <v>182</v>
      </c>
      <c r="N90" s="146"/>
      <c r="O90" s="147"/>
      <c r="P90" s="131"/>
    </row>
    <row r="91">
      <c r="A91" s="34"/>
      <c r="B91" s="139"/>
      <c r="C91" s="140"/>
      <c r="D91" s="140"/>
      <c r="E91" s="139"/>
      <c r="F91" s="138"/>
      <c r="G91" s="139"/>
      <c r="H91" s="138"/>
      <c r="I91" s="138"/>
      <c r="J91" s="148"/>
      <c r="K91" s="149"/>
      <c r="L91" s="149"/>
      <c r="M91" s="145" t="s">
        <v>181</v>
      </c>
      <c r="N91" s="146"/>
      <c r="O91" s="147"/>
      <c r="P91" s="138" t="s">
        <v>183</v>
      </c>
    </row>
    <row r="92">
      <c r="A92" s="34"/>
      <c r="B92" s="139"/>
      <c r="C92" s="140"/>
      <c r="D92" s="140"/>
      <c r="E92" s="139"/>
      <c r="F92" s="138"/>
      <c r="G92" s="139"/>
      <c r="H92" s="138"/>
      <c r="I92" s="138"/>
      <c r="J92" s="148"/>
      <c r="K92" s="149"/>
      <c r="L92" s="149"/>
      <c r="M92" s="145" t="s">
        <v>184</v>
      </c>
      <c r="N92" s="146"/>
      <c r="O92" s="147"/>
      <c r="P92" s="131"/>
    </row>
    <row r="93">
      <c r="A93" s="34"/>
      <c r="B93" s="139"/>
      <c r="C93" s="140"/>
      <c r="D93" s="140"/>
      <c r="E93" s="139"/>
      <c r="F93" s="138"/>
      <c r="G93" s="139"/>
      <c r="H93" s="138"/>
      <c r="I93" s="138"/>
      <c r="J93" s="132" t="s">
        <v>185</v>
      </c>
      <c r="K93" s="134"/>
      <c r="L93" s="134"/>
      <c r="M93" s="135" t="s">
        <v>186</v>
      </c>
      <c r="N93" s="136"/>
      <c r="O93" s="137"/>
      <c r="P93" s="131"/>
    </row>
    <row r="94">
      <c r="A94" s="34"/>
      <c r="B94" s="139"/>
      <c r="C94" s="140"/>
      <c r="D94" s="140"/>
      <c r="E94" s="139"/>
      <c r="F94" s="138"/>
      <c r="G94" s="139"/>
      <c r="H94" s="138"/>
      <c r="I94" s="138"/>
      <c r="J94" s="143" t="s">
        <v>187</v>
      </c>
      <c r="K94" s="144"/>
      <c r="L94" s="144"/>
      <c r="M94" s="145" t="s">
        <v>188</v>
      </c>
      <c r="N94" s="146"/>
      <c r="O94" s="147"/>
      <c r="P94" s="140" t="s">
        <v>189</v>
      </c>
    </row>
    <row r="95">
      <c r="A95" s="34"/>
      <c r="B95" s="139"/>
      <c r="C95" s="140"/>
      <c r="D95" s="140"/>
      <c r="E95" s="139"/>
      <c r="F95" s="138"/>
      <c r="G95" s="139"/>
      <c r="H95" s="138"/>
      <c r="I95" s="138"/>
      <c r="J95" s="135" t="s">
        <v>190</v>
      </c>
      <c r="K95" s="142"/>
      <c r="L95" s="142"/>
      <c r="M95" s="135" t="s">
        <v>188</v>
      </c>
      <c r="N95" s="136"/>
      <c r="O95" s="137"/>
      <c r="P95" s="131"/>
    </row>
    <row r="96">
      <c r="A96" s="34"/>
      <c r="B96" s="135" t="s">
        <v>198</v>
      </c>
      <c r="C96" s="136"/>
      <c r="D96" s="136"/>
      <c r="E96" s="135" t="s">
        <v>199</v>
      </c>
      <c r="F96" s="142"/>
      <c r="G96" s="135" t="s">
        <v>200</v>
      </c>
      <c r="H96" s="142"/>
      <c r="I96" s="142"/>
      <c r="J96" s="135" t="s">
        <v>42</v>
      </c>
      <c r="K96" s="142"/>
      <c r="L96" s="142"/>
      <c r="M96" s="135" t="s">
        <v>201</v>
      </c>
      <c r="N96" s="136"/>
      <c r="O96" s="137"/>
      <c r="P96" s="131"/>
    </row>
    <row r="97">
      <c r="A97" s="34"/>
      <c r="B97" s="83"/>
      <c r="C97" s="122"/>
      <c r="D97" s="34"/>
      <c r="E97" s="131"/>
      <c r="F97" s="131"/>
      <c r="G97" s="131"/>
      <c r="H97" s="131"/>
      <c r="I97" s="131"/>
      <c r="J97" s="131"/>
      <c r="K97" s="131"/>
      <c r="L97" s="138"/>
      <c r="M97" s="138"/>
      <c r="N97" s="138"/>
      <c r="O97" s="131"/>
    </row>
    <row r="98" ht="18.0" customHeight="1">
      <c r="A98" s="34"/>
      <c r="B98" s="152" t="s">
        <v>202</v>
      </c>
      <c r="C98" s="153"/>
      <c r="D98" s="154"/>
      <c r="F98" s="58" t="b">
        <v>1</v>
      </c>
      <c r="G98" s="58" t="s">
        <v>203</v>
      </c>
    </row>
    <row r="99" ht="18.0" customHeight="1">
      <c r="A99" s="34"/>
      <c r="B99" s="135" t="s">
        <v>204</v>
      </c>
      <c r="C99" s="136"/>
      <c r="D99" s="137"/>
      <c r="F99" s="58" t="b">
        <v>1</v>
      </c>
      <c r="G99" s="58" t="s">
        <v>205</v>
      </c>
    </row>
    <row r="100" ht="19.5" customHeight="1">
      <c r="A100" s="34"/>
      <c r="B100" s="155" t="s">
        <v>206</v>
      </c>
      <c r="C100" s="156"/>
      <c r="D100" s="157"/>
      <c r="F100" s="58" t="b">
        <v>1</v>
      </c>
      <c r="G100" s="58" t="s">
        <v>207</v>
      </c>
    </row>
    <row r="101" ht="19.5" customHeight="1">
      <c r="A101" s="34"/>
      <c r="B101" s="155" t="s">
        <v>208</v>
      </c>
      <c r="C101" s="156"/>
      <c r="D101" s="157"/>
      <c r="F101" s="58" t="b">
        <v>1</v>
      </c>
      <c r="G101" s="58" t="s">
        <v>209</v>
      </c>
    </row>
    <row r="102" ht="19.5" customHeight="1">
      <c r="A102" s="34"/>
      <c r="B102" s="155" t="s">
        <v>210</v>
      </c>
      <c r="C102" s="156"/>
      <c r="D102" s="157"/>
      <c r="F102" s="58" t="b">
        <v>1</v>
      </c>
      <c r="G102" s="140" t="s">
        <v>211</v>
      </c>
      <c r="P102" s="131"/>
      <c r="Q102" s="131"/>
      <c r="R102" s="131"/>
      <c r="S102" s="131"/>
      <c r="T102" s="131"/>
    </row>
    <row r="103" ht="19.5" customHeight="1">
      <c r="A103" s="34"/>
      <c r="B103" s="155" t="s">
        <v>212</v>
      </c>
      <c r="C103" s="156"/>
      <c r="D103" s="157"/>
      <c r="F103" s="58" t="b">
        <v>1</v>
      </c>
      <c r="G103" s="58" t="s">
        <v>213</v>
      </c>
      <c r="P103" s="140"/>
      <c r="Q103" s="34"/>
      <c r="R103" s="34"/>
      <c r="S103" s="34"/>
      <c r="T103" s="34"/>
      <c r="U103" s="34"/>
      <c r="V103" s="34"/>
    </row>
    <row r="104" ht="17.25" customHeight="1">
      <c r="A104" s="34"/>
      <c r="B104" s="135" t="s">
        <v>214</v>
      </c>
      <c r="C104" s="158"/>
      <c r="D104" s="159"/>
      <c r="F104" s="58" t="b">
        <v>1</v>
      </c>
      <c r="G104" s="58" t="s">
        <v>190</v>
      </c>
      <c r="P104" s="34"/>
      <c r="Q104" s="34"/>
      <c r="R104" s="34"/>
      <c r="S104" s="34"/>
      <c r="T104" s="34"/>
      <c r="U104" s="34"/>
      <c r="V104" s="34"/>
    </row>
    <row r="105" ht="17.25" customHeight="1">
      <c r="A105" s="34"/>
      <c r="B105" s="140"/>
      <c r="C105" s="34"/>
      <c r="D105" s="34"/>
      <c r="P105" s="34"/>
      <c r="Q105" s="34"/>
      <c r="R105" s="34"/>
      <c r="S105" s="34"/>
      <c r="T105" s="34"/>
      <c r="U105" s="34"/>
      <c r="V105" s="34"/>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1"/>
      <c r="BF105" s="131"/>
      <c r="BG105" s="131"/>
      <c r="BH105" s="131"/>
      <c r="BI105" s="131"/>
      <c r="BJ105" s="131"/>
      <c r="BK105" s="131"/>
      <c r="BL105" s="131"/>
      <c r="BM105" s="131"/>
      <c r="BN105" s="131"/>
      <c r="BO105" s="131"/>
      <c r="BP105" s="131"/>
      <c r="BQ105" s="131"/>
      <c r="BR105" s="131"/>
      <c r="BS105" s="131"/>
      <c r="BT105" s="131"/>
      <c r="BU105" s="131"/>
      <c r="BV105" s="131"/>
      <c r="BW105" s="131"/>
      <c r="BX105" s="131"/>
      <c r="BY105" s="131"/>
      <c r="BZ105" s="131"/>
    </row>
    <row r="106" ht="17.25" customHeight="1">
      <c r="A106" s="34"/>
      <c r="B106" s="152" t="s">
        <v>215</v>
      </c>
      <c r="C106" s="153"/>
      <c r="D106" s="154"/>
      <c r="P106" s="34"/>
      <c r="Q106" s="34"/>
      <c r="R106" s="34"/>
      <c r="S106" s="34"/>
      <c r="T106" s="34"/>
      <c r="U106" s="34"/>
      <c r="V106" s="34"/>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c r="AW106" s="131"/>
      <c r="AX106" s="131"/>
      <c r="AY106" s="131"/>
      <c r="AZ106" s="131"/>
      <c r="BA106" s="131"/>
      <c r="BB106" s="131"/>
      <c r="BC106" s="131"/>
      <c r="BD106" s="131"/>
      <c r="BE106" s="131"/>
      <c r="BF106" s="131"/>
      <c r="BG106" s="131"/>
      <c r="BH106" s="131"/>
      <c r="BI106" s="131"/>
      <c r="BJ106" s="131"/>
      <c r="BK106" s="131"/>
      <c r="BL106" s="131"/>
      <c r="BM106" s="131"/>
      <c r="BN106" s="131"/>
      <c r="BO106" s="131"/>
      <c r="BP106" s="131"/>
      <c r="BQ106" s="131"/>
      <c r="BR106" s="131"/>
      <c r="BS106" s="131"/>
      <c r="BT106" s="131"/>
      <c r="BU106" s="131"/>
      <c r="BV106" s="131"/>
      <c r="BW106" s="131"/>
      <c r="BX106" s="131"/>
      <c r="BY106" s="131"/>
      <c r="BZ106" s="131"/>
    </row>
    <row r="107" ht="15.0" customHeight="1">
      <c r="A107" s="34"/>
      <c r="B107" s="135" t="s">
        <v>216</v>
      </c>
      <c r="C107" s="136"/>
      <c r="D107" s="137"/>
      <c r="P107" s="34"/>
      <c r="Q107" s="34"/>
      <c r="R107" s="34"/>
      <c r="S107" s="34"/>
      <c r="T107" s="34"/>
      <c r="U107" s="34"/>
      <c r="V107" s="34"/>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row>
    <row r="108" ht="16.5" customHeight="1">
      <c r="A108" s="34"/>
      <c r="B108" s="135" t="s">
        <v>217</v>
      </c>
      <c r="C108" s="136"/>
      <c r="D108" s="137"/>
      <c r="P108" s="34"/>
      <c r="Q108" s="34"/>
      <c r="R108" s="34"/>
      <c r="S108" s="34"/>
      <c r="T108" s="34"/>
      <c r="U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c r="AW108" s="131"/>
      <c r="AX108" s="131"/>
      <c r="AY108" s="131"/>
      <c r="AZ108" s="131"/>
      <c r="BA108" s="131"/>
      <c r="BB108" s="131"/>
      <c r="BC108" s="131"/>
      <c r="BD108" s="131"/>
      <c r="BE108" s="131"/>
      <c r="BF108" s="131"/>
      <c r="BG108" s="131"/>
      <c r="BH108" s="131"/>
      <c r="BI108" s="131"/>
      <c r="BJ108" s="131"/>
      <c r="BK108" s="131"/>
      <c r="BL108" s="131"/>
      <c r="BM108" s="131"/>
      <c r="BN108" s="131"/>
      <c r="BO108" s="131"/>
      <c r="BP108" s="131"/>
      <c r="BQ108" s="131"/>
      <c r="BR108" s="131"/>
      <c r="BS108" s="131"/>
      <c r="BT108" s="131"/>
      <c r="BU108" s="131"/>
      <c r="BV108" s="131"/>
      <c r="BW108" s="131"/>
      <c r="BX108" s="131"/>
      <c r="BY108" s="131"/>
      <c r="BZ108" s="131"/>
    </row>
    <row r="109" ht="16.5" customHeight="1">
      <c r="A109" s="34"/>
      <c r="B109" s="135" t="s">
        <v>218</v>
      </c>
      <c r="C109" s="136"/>
      <c r="D109" s="137"/>
      <c r="P109" s="34"/>
      <c r="Q109" s="34"/>
      <c r="R109" s="34"/>
      <c r="S109" s="34"/>
      <c r="T109" s="34"/>
      <c r="U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c r="AW109" s="131"/>
      <c r="AX109" s="131"/>
      <c r="AY109" s="131"/>
      <c r="AZ109" s="131"/>
      <c r="BA109" s="131"/>
      <c r="BB109" s="131"/>
      <c r="BC109" s="131"/>
      <c r="BD109" s="131"/>
      <c r="BE109" s="131"/>
      <c r="BF109" s="131"/>
      <c r="BG109" s="131"/>
      <c r="BH109" s="131"/>
      <c r="BI109" s="131"/>
      <c r="BJ109" s="131"/>
      <c r="BK109" s="131"/>
      <c r="BL109" s="131"/>
      <c r="BM109" s="131"/>
      <c r="BN109" s="131"/>
      <c r="BO109" s="131"/>
      <c r="BP109" s="131"/>
      <c r="BQ109" s="131"/>
      <c r="BR109" s="131"/>
      <c r="BS109" s="131"/>
      <c r="BT109" s="131"/>
      <c r="BU109" s="131"/>
      <c r="BV109" s="131"/>
      <c r="BW109" s="131"/>
      <c r="BX109" s="131"/>
      <c r="BY109" s="131"/>
      <c r="BZ109" s="131"/>
    </row>
    <row r="110" ht="16.5" customHeight="1">
      <c r="A110" s="34"/>
      <c r="B110" s="135" t="s">
        <v>219</v>
      </c>
      <c r="C110" s="136"/>
      <c r="D110" s="137"/>
      <c r="F110" s="131"/>
      <c r="P110" s="131"/>
      <c r="Q110" s="131"/>
      <c r="R110" s="131"/>
      <c r="S110" s="131"/>
      <c r="T110" s="131"/>
      <c r="U110" s="131"/>
      <c r="AC110" s="131"/>
      <c r="AD110" s="131"/>
      <c r="AE110" s="131"/>
      <c r="AF110" s="131"/>
      <c r="AG110" s="131"/>
      <c r="AH110" s="131"/>
      <c r="AI110" s="131"/>
      <c r="AJ110" s="131"/>
      <c r="AK110" s="131"/>
      <c r="AL110" s="131"/>
      <c r="AM110" s="131"/>
      <c r="AN110" s="131"/>
      <c r="AO110" s="131"/>
      <c r="AP110" s="131"/>
      <c r="AQ110" s="131"/>
      <c r="AR110" s="131"/>
      <c r="AS110" s="131"/>
      <c r="AT110" s="131"/>
      <c r="AU110" s="131"/>
      <c r="AV110" s="131"/>
      <c r="AW110" s="131"/>
      <c r="AX110" s="131"/>
      <c r="AY110" s="131"/>
      <c r="AZ110" s="131"/>
      <c r="BA110" s="131"/>
      <c r="BB110" s="131"/>
      <c r="BC110" s="131"/>
      <c r="BD110" s="131"/>
      <c r="BE110" s="131"/>
      <c r="BF110" s="131"/>
      <c r="BG110" s="131"/>
      <c r="BH110" s="131"/>
      <c r="BI110" s="131"/>
      <c r="BJ110" s="131"/>
      <c r="BK110" s="131"/>
      <c r="BL110" s="131"/>
      <c r="BM110" s="131"/>
      <c r="BN110" s="131"/>
      <c r="BO110" s="131"/>
      <c r="BP110" s="131"/>
      <c r="BQ110" s="131"/>
      <c r="BR110" s="131"/>
      <c r="BS110" s="131"/>
      <c r="BT110" s="131"/>
      <c r="BU110" s="131"/>
      <c r="BV110" s="131"/>
      <c r="BW110" s="131"/>
      <c r="BX110" s="131"/>
      <c r="BY110" s="131"/>
      <c r="BZ110" s="131"/>
    </row>
    <row r="111" ht="16.5" customHeight="1">
      <c r="A111" s="34"/>
      <c r="B111" s="135" t="s">
        <v>220</v>
      </c>
      <c r="C111" s="136"/>
      <c r="D111" s="137"/>
      <c r="F111" s="131"/>
      <c r="G111" s="58" t="s">
        <v>221</v>
      </c>
      <c r="P111" s="131"/>
      <c r="Q111" s="131"/>
      <c r="R111" s="131"/>
      <c r="S111" s="131"/>
      <c r="T111" s="131"/>
      <c r="U111" s="131"/>
      <c r="V111" s="58"/>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131"/>
      <c r="BK111" s="131"/>
      <c r="BL111" s="131"/>
      <c r="BM111" s="131"/>
      <c r="BN111" s="131"/>
      <c r="BO111" s="131"/>
      <c r="BP111" s="131"/>
      <c r="BQ111" s="131"/>
      <c r="BR111" s="131"/>
      <c r="BS111" s="131"/>
      <c r="BT111" s="131"/>
      <c r="BU111" s="131"/>
      <c r="BV111" s="131"/>
      <c r="BW111" s="131"/>
      <c r="BX111" s="131"/>
      <c r="BY111" s="131"/>
      <c r="BZ111" s="131"/>
    </row>
    <row r="112" ht="16.5" customHeight="1">
      <c r="A112" s="34"/>
      <c r="B112" s="135" t="s">
        <v>222</v>
      </c>
      <c r="C112" s="136"/>
      <c r="D112" s="137"/>
      <c r="F112" s="131"/>
      <c r="P112" s="131"/>
      <c r="Q112" s="131"/>
      <c r="R112" s="131"/>
      <c r="S112" s="131"/>
      <c r="T112" s="131"/>
      <c r="U112" s="131"/>
      <c r="V112" s="58"/>
      <c r="AC112" s="131"/>
      <c r="AD112" s="131"/>
      <c r="AE112" s="131"/>
      <c r="AF112" s="131"/>
      <c r="AG112" s="131"/>
      <c r="AH112" s="131"/>
      <c r="AI112" s="131"/>
      <c r="AJ112" s="131"/>
      <c r="AK112" s="131"/>
      <c r="AL112" s="131"/>
      <c r="AM112" s="131"/>
      <c r="AN112" s="131"/>
      <c r="AO112" s="131"/>
      <c r="AP112" s="131"/>
      <c r="AQ112" s="131"/>
      <c r="AR112" s="131"/>
      <c r="AS112" s="131"/>
      <c r="AT112" s="131"/>
      <c r="AU112" s="131"/>
      <c r="AV112" s="131"/>
      <c r="AW112" s="131"/>
      <c r="AX112" s="131"/>
      <c r="AY112" s="131"/>
      <c r="AZ112" s="131"/>
      <c r="BA112" s="131"/>
      <c r="BB112" s="131"/>
      <c r="BC112" s="131"/>
      <c r="BD112" s="131"/>
      <c r="BE112" s="131"/>
      <c r="BF112" s="131"/>
      <c r="BG112" s="131"/>
      <c r="BH112" s="131"/>
      <c r="BI112" s="131"/>
      <c r="BJ112" s="131"/>
      <c r="BK112" s="131"/>
      <c r="BL112" s="131"/>
      <c r="BM112" s="131"/>
      <c r="BN112" s="131"/>
      <c r="BO112" s="131"/>
      <c r="BP112" s="131"/>
      <c r="BQ112" s="131"/>
      <c r="BR112" s="131"/>
      <c r="BS112" s="131"/>
      <c r="BT112" s="131"/>
      <c r="BU112" s="131"/>
      <c r="BV112" s="131"/>
      <c r="BW112" s="131"/>
      <c r="BX112" s="131"/>
      <c r="BY112" s="131"/>
      <c r="BZ112" s="131"/>
    </row>
    <row r="113" ht="16.5" customHeight="1">
      <c r="A113" s="34"/>
      <c r="B113" s="135" t="s">
        <v>223</v>
      </c>
      <c r="C113" s="136"/>
      <c r="D113" s="137"/>
      <c r="F113" s="131"/>
      <c r="G113" s="88" t="s">
        <v>224</v>
      </c>
      <c r="H113" s="89"/>
      <c r="I113" s="89"/>
      <c r="J113" s="89"/>
      <c r="K113" s="89"/>
      <c r="L113" s="90"/>
      <c r="P113" s="131"/>
      <c r="Q113" s="131"/>
      <c r="R113" s="131"/>
      <c r="S113" s="131"/>
      <c r="T113" s="131"/>
      <c r="U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row>
    <row r="114" ht="16.5" customHeight="1">
      <c r="A114" s="34"/>
      <c r="B114" s="135" t="s">
        <v>225</v>
      </c>
      <c r="C114" s="136"/>
      <c r="D114" s="137"/>
      <c r="F114" s="131"/>
      <c r="G114" s="160" t="s">
        <v>226</v>
      </c>
      <c r="L114" s="94"/>
      <c r="U114" s="131"/>
      <c r="V114" s="58"/>
      <c r="AC114" s="131"/>
      <c r="AD114" s="131"/>
      <c r="AE114" s="131"/>
      <c r="AF114" s="131"/>
      <c r="AG114" s="131"/>
      <c r="AH114" s="131"/>
      <c r="AI114" s="131"/>
      <c r="AJ114" s="131"/>
      <c r="AK114" s="131"/>
      <c r="AL114" s="131"/>
      <c r="AM114" s="131"/>
      <c r="AN114" s="131"/>
      <c r="AO114" s="131"/>
      <c r="AP114" s="131"/>
      <c r="AQ114" s="131"/>
      <c r="AR114" s="131"/>
      <c r="AS114" s="131"/>
      <c r="AT114" s="131"/>
      <c r="AU114" s="131"/>
      <c r="AV114" s="131"/>
      <c r="AW114" s="131"/>
      <c r="AX114" s="131"/>
      <c r="AY114" s="131"/>
      <c r="AZ114" s="131"/>
      <c r="BA114" s="131"/>
      <c r="BB114" s="131"/>
      <c r="BC114" s="131"/>
      <c r="BD114" s="131"/>
      <c r="BE114" s="131"/>
      <c r="BF114" s="131"/>
      <c r="BG114" s="131"/>
      <c r="BH114" s="131"/>
      <c r="BI114" s="131"/>
      <c r="BJ114" s="131"/>
      <c r="BK114" s="131"/>
      <c r="BL114" s="131"/>
      <c r="BM114" s="131"/>
      <c r="BN114" s="131"/>
      <c r="BO114" s="131"/>
      <c r="BP114" s="131"/>
      <c r="BQ114" s="131"/>
      <c r="BR114" s="131"/>
      <c r="BS114" s="131"/>
      <c r="BT114" s="131"/>
      <c r="BU114" s="131"/>
      <c r="BV114" s="131"/>
      <c r="BW114" s="131"/>
      <c r="BX114" s="131"/>
      <c r="BY114" s="131"/>
      <c r="BZ114" s="131"/>
    </row>
    <row r="115" ht="16.5" customHeight="1">
      <c r="A115" s="34"/>
      <c r="B115" s="135" t="s">
        <v>227</v>
      </c>
      <c r="C115" s="136"/>
      <c r="D115" s="137"/>
      <c r="F115" s="161"/>
      <c r="L115" s="94"/>
      <c r="U115" s="131"/>
      <c r="V115" s="58"/>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c r="AW115" s="131"/>
      <c r="AX115" s="131"/>
      <c r="AY115" s="131"/>
      <c r="AZ115" s="131"/>
      <c r="BA115" s="131"/>
      <c r="BB115" s="131"/>
      <c r="BC115" s="131"/>
      <c r="BD115" s="131"/>
      <c r="BE115" s="131"/>
      <c r="BF115" s="131"/>
      <c r="BG115" s="131"/>
      <c r="BH115" s="131"/>
      <c r="BI115" s="131"/>
      <c r="BJ115" s="131"/>
      <c r="BK115" s="131"/>
      <c r="BL115" s="131"/>
      <c r="BM115" s="131"/>
      <c r="BN115" s="131"/>
      <c r="BO115" s="131"/>
      <c r="BP115" s="131"/>
      <c r="BQ115" s="131"/>
      <c r="BR115" s="131"/>
      <c r="BS115" s="131"/>
      <c r="BT115" s="131"/>
      <c r="BU115" s="131"/>
      <c r="BV115" s="131"/>
      <c r="BW115" s="131"/>
      <c r="BX115" s="131"/>
      <c r="BY115" s="131"/>
      <c r="BZ115" s="131"/>
    </row>
    <row r="116" ht="18.75" customHeight="1">
      <c r="A116" s="34"/>
      <c r="B116" s="34"/>
      <c r="C116" s="34"/>
      <c r="D116" s="34"/>
      <c r="F116" s="161"/>
      <c r="G116" s="58" t="s">
        <v>228</v>
      </c>
      <c r="L116" s="94"/>
      <c r="U116" s="131"/>
      <c r="V116" s="58"/>
      <c r="AA116" s="58"/>
      <c r="AC116" s="131"/>
      <c r="AD116" s="131"/>
      <c r="AE116" s="131"/>
      <c r="AF116" s="131"/>
      <c r="AG116" s="131"/>
      <c r="AH116" s="131"/>
      <c r="AI116" s="131"/>
      <c r="AJ116" s="131"/>
      <c r="AK116" s="131"/>
      <c r="AL116" s="131"/>
      <c r="AM116" s="131"/>
      <c r="AN116" s="131"/>
      <c r="AO116" s="131"/>
      <c r="AP116" s="131"/>
      <c r="AQ116" s="131"/>
      <c r="AR116" s="131"/>
      <c r="AS116" s="131"/>
      <c r="AT116" s="131"/>
      <c r="AU116" s="131"/>
      <c r="AV116" s="131"/>
      <c r="AW116" s="131"/>
      <c r="AX116" s="131"/>
      <c r="AY116" s="131"/>
      <c r="AZ116" s="131"/>
      <c r="BA116" s="131"/>
      <c r="BB116" s="131"/>
      <c r="BC116" s="131"/>
      <c r="BD116" s="131"/>
      <c r="BE116" s="131"/>
      <c r="BF116" s="131"/>
      <c r="BG116" s="131"/>
      <c r="BH116" s="131"/>
      <c r="BI116" s="131"/>
      <c r="BJ116" s="131"/>
      <c r="BK116" s="131"/>
      <c r="BL116" s="131"/>
      <c r="BM116" s="131"/>
      <c r="BN116" s="131"/>
      <c r="BO116" s="131"/>
      <c r="BP116" s="131"/>
      <c r="BQ116" s="131"/>
      <c r="BR116" s="131"/>
      <c r="BS116" s="131"/>
      <c r="BT116" s="131"/>
      <c r="BU116" s="131"/>
      <c r="BV116" s="131"/>
      <c r="BW116" s="131"/>
      <c r="BX116" s="131"/>
      <c r="BY116" s="131"/>
      <c r="BZ116" s="131"/>
    </row>
    <row r="117">
      <c r="A117" s="34"/>
      <c r="B117" s="34"/>
      <c r="C117" s="34"/>
      <c r="D117" s="34"/>
      <c r="F117" s="131"/>
      <c r="G117" s="160" t="s">
        <v>229</v>
      </c>
      <c r="L117" s="94"/>
      <c r="U117" s="131"/>
    </row>
    <row r="118">
      <c r="A118" s="34"/>
      <c r="B118" s="34"/>
      <c r="C118" s="34"/>
      <c r="D118" s="34"/>
      <c r="F118" s="131"/>
      <c r="G118" s="162" t="s">
        <v>230</v>
      </c>
      <c r="H118" s="97"/>
      <c r="I118" s="97"/>
      <c r="J118" s="97"/>
      <c r="K118" s="97"/>
      <c r="L118" s="163" t="s">
        <v>231</v>
      </c>
    </row>
    <row r="119">
      <c r="A119" s="34"/>
      <c r="B119" s="34"/>
      <c r="C119" s="34"/>
      <c r="D119" s="34"/>
      <c r="F119" s="131"/>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sheetData>
  <dataValidations>
    <dataValidation type="list" allowBlank="1" showErrorMessage="1" sqref="F11:F12 O11:O15 C11:C16 F15:F18 I11:I21 L11:L25">
      <formula1>"〇,-"</formula1>
    </dataValidation>
  </dataValidations>
  <hyperlinks>
    <hyperlink r:id="rId1" ref="I4"/>
    <hyperlink r:id="rId2" ref="I6"/>
    <hyperlink r:id="rId3" location="gid=397942537" ref="L10"/>
    <hyperlink r:id="rId4" ref="G114"/>
    <hyperlink r:id="rId5" ref="G117"/>
    <hyperlink r:id="rId6" ref="G1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0.75"/>
    <col customWidth="1" min="2" max="2" width="7.63"/>
    <col customWidth="1" min="3" max="3" width="26.0"/>
    <col customWidth="1" min="4" max="4" width="17.13"/>
    <col customWidth="1" min="5" max="5" width="29.63"/>
    <col customWidth="1" min="6" max="6" width="26.0"/>
    <col customWidth="1" min="7" max="7" width="21.5"/>
    <col customWidth="1" min="8" max="8" width="47.38"/>
    <col customWidth="1" min="9" max="9" width="26.0"/>
    <col customWidth="1" min="10" max="10" width="26.25"/>
    <col customWidth="1" min="11" max="12" width="11.13"/>
    <col customWidth="1" min="13" max="13" width="15.13"/>
    <col customWidth="1" min="14" max="14" width="21.5"/>
    <col customWidth="1" min="15" max="16" width="10.88"/>
    <col customWidth="1" min="17" max="19" width="14.0"/>
    <col customWidth="1" min="20" max="28" width="7.5"/>
  </cols>
  <sheetData>
    <row r="1">
      <c r="A1" s="164"/>
      <c r="B1" s="164"/>
      <c r="C1" s="165"/>
      <c r="D1" s="165"/>
      <c r="E1" s="165"/>
      <c r="F1" s="165"/>
      <c r="G1" s="165"/>
      <c r="H1" s="166"/>
      <c r="I1" s="165"/>
      <c r="J1" s="165"/>
      <c r="K1" s="167"/>
      <c r="L1" s="168"/>
      <c r="M1" s="169"/>
      <c r="N1" s="169"/>
      <c r="O1" s="169"/>
      <c r="P1" s="164"/>
      <c r="Q1" s="164"/>
      <c r="R1" s="164"/>
      <c r="S1" s="164"/>
      <c r="T1" s="164"/>
      <c r="U1" s="164"/>
      <c r="V1" s="164"/>
      <c r="W1" s="164"/>
      <c r="X1" s="164"/>
      <c r="Y1" s="170"/>
      <c r="Z1" s="170"/>
      <c r="AA1" s="170"/>
    </row>
    <row r="2">
      <c r="A2" s="164"/>
      <c r="B2" s="164"/>
      <c r="C2" s="165"/>
      <c r="D2" s="165"/>
      <c r="E2" s="165"/>
      <c r="F2" s="165"/>
      <c r="G2" s="165"/>
      <c r="H2" s="166"/>
      <c r="I2" s="165"/>
      <c r="J2" s="165"/>
      <c r="K2" s="167"/>
      <c r="L2" s="168"/>
      <c r="M2" s="169"/>
      <c r="N2" s="169"/>
      <c r="O2" s="169"/>
      <c r="P2" s="164"/>
      <c r="Q2" s="164"/>
      <c r="R2" s="164"/>
      <c r="S2" s="164"/>
      <c r="T2" s="164"/>
      <c r="U2" s="164"/>
      <c r="V2" s="164"/>
      <c r="W2" s="164"/>
      <c r="X2" s="164"/>
      <c r="Y2" s="170"/>
      <c r="Z2" s="170"/>
      <c r="AA2" s="170"/>
    </row>
    <row r="3">
      <c r="A3" s="164"/>
      <c r="B3" s="171" t="s">
        <v>232</v>
      </c>
      <c r="C3" s="172"/>
      <c r="D3" s="172"/>
      <c r="E3" s="172"/>
      <c r="F3" s="172"/>
      <c r="G3" s="173"/>
      <c r="H3" s="166"/>
      <c r="I3" s="165"/>
      <c r="J3" s="165"/>
      <c r="K3" s="174" t="s">
        <v>233</v>
      </c>
      <c r="L3" s="175" t="s">
        <v>234</v>
      </c>
      <c r="M3" s="169"/>
      <c r="N3" s="169"/>
      <c r="O3" s="169"/>
      <c r="P3" s="164"/>
      <c r="Q3" s="164"/>
      <c r="R3" s="164"/>
      <c r="S3" s="164"/>
      <c r="T3" s="164"/>
      <c r="U3" s="164"/>
      <c r="V3" s="164"/>
      <c r="W3" s="164"/>
      <c r="X3" s="164"/>
      <c r="Y3" s="170"/>
      <c r="Z3" s="170"/>
      <c r="AA3" s="170"/>
    </row>
    <row r="4">
      <c r="A4" s="164"/>
      <c r="B4" s="176" t="s">
        <v>235</v>
      </c>
      <c r="C4" s="177" t="s">
        <v>159</v>
      </c>
      <c r="D4" s="177" t="s">
        <v>160</v>
      </c>
      <c r="E4" s="177" t="s">
        <v>161</v>
      </c>
      <c r="F4" s="177" t="s">
        <v>162</v>
      </c>
      <c r="G4" s="178" t="s">
        <v>163</v>
      </c>
      <c r="H4" s="179" t="s">
        <v>236</v>
      </c>
      <c r="I4" s="180" t="s">
        <v>237</v>
      </c>
      <c r="J4" s="181" t="s">
        <v>238</v>
      </c>
      <c r="K4" s="182" t="s">
        <v>239</v>
      </c>
      <c r="L4" s="182" t="s">
        <v>239</v>
      </c>
      <c r="M4" s="183" t="s">
        <v>3</v>
      </c>
      <c r="N4" s="184" t="s">
        <v>240</v>
      </c>
      <c r="O4" s="185" t="s">
        <v>241</v>
      </c>
      <c r="P4" s="164"/>
      <c r="Q4" s="164"/>
      <c r="R4" s="164"/>
      <c r="S4" s="164"/>
      <c r="T4" s="164"/>
      <c r="U4" s="164"/>
      <c r="V4" s="164"/>
      <c r="W4" s="164"/>
      <c r="X4" s="164"/>
      <c r="Y4" s="170"/>
      <c r="Z4" s="170"/>
      <c r="AA4" s="170"/>
    </row>
    <row r="5">
      <c r="A5" s="164"/>
      <c r="B5" s="186">
        <f t="shared" ref="B5:B56" si="1">ROW()-ROW($B$4)</f>
        <v>1</v>
      </c>
      <c r="C5" s="187" t="s">
        <v>164</v>
      </c>
      <c r="D5" s="187" t="s">
        <v>165</v>
      </c>
      <c r="E5" s="188" t="s">
        <v>242</v>
      </c>
      <c r="F5" s="189" t="s">
        <v>167</v>
      </c>
      <c r="G5" s="190" t="s">
        <v>243</v>
      </c>
      <c r="H5" s="191" t="s">
        <v>244</v>
      </c>
      <c r="I5" s="192" t="s">
        <v>245</v>
      </c>
      <c r="J5" s="192" t="s">
        <v>246</v>
      </c>
      <c r="K5" s="193" t="s">
        <v>247</v>
      </c>
      <c r="L5" s="193" t="s">
        <v>42</v>
      </c>
      <c r="M5" s="192"/>
      <c r="N5" s="192" t="s">
        <v>248</v>
      </c>
      <c r="O5" s="194" t="s">
        <v>249</v>
      </c>
      <c r="P5" s="164"/>
      <c r="Q5" s="164"/>
      <c r="R5" s="164"/>
      <c r="S5" s="164"/>
      <c r="T5" s="164"/>
      <c r="U5" s="164"/>
      <c r="V5" s="164"/>
      <c r="W5" s="164"/>
      <c r="X5" s="164"/>
      <c r="Y5" s="170"/>
      <c r="Z5" s="170"/>
      <c r="AA5" s="170"/>
    </row>
    <row r="6">
      <c r="A6" s="164"/>
      <c r="B6" s="186">
        <f t="shared" si="1"/>
        <v>2</v>
      </c>
      <c r="C6" s="195"/>
      <c r="D6" s="195"/>
      <c r="E6" s="196"/>
      <c r="F6" s="197"/>
      <c r="G6" s="198" t="s">
        <v>219</v>
      </c>
      <c r="H6" s="191" t="s">
        <v>250</v>
      </c>
      <c r="I6" s="192" t="str">
        <f t="shared" ref="I6:I7" si="2">G6&amp;"が表示されていること"</f>
        <v>10％税抜金額が表示されていること</v>
      </c>
      <c r="J6" s="199"/>
      <c r="K6" s="193" t="s">
        <v>247</v>
      </c>
      <c r="L6" s="193" t="s">
        <v>42</v>
      </c>
      <c r="M6" s="199"/>
      <c r="N6" s="192" t="s">
        <v>250</v>
      </c>
      <c r="O6" s="192"/>
      <c r="P6" s="164"/>
      <c r="Q6" s="164"/>
      <c r="R6" s="164"/>
      <c r="S6" s="164"/>
      <c r="T6" s="164"/>
      <c r="U6" s="164"/>
      <c r="V6" s="164"/>
      <c r="W6" s="164"/>
      <c r="X6" s="164"/>
      <c r="Y6" s="170"/>
      <c r="Z6" s="170"/>
      <c r="AA6" s="170"/>
    </row>
    <row r="7">
      <c r="A7" s="164"/>
      <c r="B7" s="186">
        <f t="shared" si="1"/>
        <v>3</v>
      </c>
      <c r="C7" s="195"/>
      <c r="D7" s="195"/>
      <c r="E7" s="196"/>
      <c r="F7" s="197"/>
      <c r="G7" s="198" t="s">
        <v>222</v>
      </c>
      <c r="H7" s="191" t="s">
        <v>250</v>
      </c>
      <c r="I7" s="192" t="str">
        <f t="shared" si="2"/>
        <v>8%税抜金額が表示されていること</v>
      </c>
      <c r="J7" s="199"/>
      <c r="K7" s="193" t="s">
        <v>247</v>
      </c>
      <c r="L7" s="193" t="s">
        <v>42</v>
      </c>
      <c r="M7" s="199"/>
      <c r="N7" s="192" t="s">
        <v>250</v>
      </c>
      <c r="O7" s="192"/>
      <c r="P7" s="164"/>
      <c r="Q7" s="164"/>
      <c r="R7" s="164"/>
      <c r="S7" s="164"/>
      <c r="T7" s="164"/>
      <c r="U7" s="164"/>
      <c r="V7" s="164"/>
      <c r="W7" s="164"/>
      <c r="X7" s="164"/>
      <c r="Y7" s="170"/>
      <c r="Z7" s="170"/>
      <c r="AA7" s="170"/>
    </row>
    <row r="8">
      <c r="A8" s="164"/>
      <c r="B8" s="186">
        <f t="shared" si="1"/>
        <v>4</v>
      </c>
      <c r="C8" s="195"/>
      <c r="D8" s="200"/>
      <c r="E8" s="196"/>
      <c r="F8" s="189" t="s">
        <v>243</v>
      </c>
      <c r="G8" s="201" t="s">
        <v>251</v>
      </c>
      <c r="H8" s="191" t="s">
        <v>252</v>
      </c>
      <c r="I8" s="192" t="s">
        <v>253</v>
      </c>
      <c r="J8" s="199"/>
      <c r="K8" s="193" t="s">
        <v>66</v>
      </c>
      <c r="L8" s="193" t="s">
        <v>42</v>
      </c>
      <c r="M8" s="199"/>
      <c r="N8" s="199"/>
      <c r="O8" s="199"/>
      <c r="P8" s="164"/>
      <c r="Q8" s="164"/>
      <c r="R8" s="164"/>
      <c r="S8" s="164"/>
      <c r="T8" s="164"/>
      <c r="U8" s="164"/>
      <c r="V8" s="164"/>
      <c r="W8" s="164"/>
      <c r="X8" s="164"/>
      <c r="Y8" s="170"/>
      <c r="Z8" s="170"/>
      <c r="AA8" s="170"/>
    </row>
    <row r="9" ht="39.75" customHeight="1">
      <c r="A9" s="164"/>
      <c r="B9" s="186">
        <f t="shared" si="1"/>
        <v>5</v>
      </c>
      <c r="C9" s="195"/>
      <c r="D9" s="200"/>
      <c r="E9" s="196"/>
      <c r="F9" s="202"/>
      <c r="G9" s="201" t="s">
        <v>251</v>
      </c>
      <c r="H9" s="191" t="s">
        <v>254</v>
      </c>
      <c r="I9" s="192" t="s">
        <v>253</v>
      </c>
      <c r="J9" s="192"/>
      <c r="K9" s="193" t="s">
        <v>247</v>
      </c>
      <c r="L9" s="193" t="s">
        <v>42</v>
      </c>
      <c r="M9" s="192"/>
      <c r="N9" s="192" t="s">
        <v>255</v>
      </c>
      <c r="O9" s="194" t="s">
        <v>249</v>
      </c>
      <c r="P9" s="164"/>
      <c r="Q9" s="164"/>
      <c r="R9" s="164"/>
      <c r="S9" s="164"/>
      <c r="T9" s="164"/>
      <c r="U9" s="164"/>
      <c r="V9" s="164"/>
      <c r="W9" s="164"/>
      <c r="X9" s="164"/>
      <c r="Y9" s="170"/>
      <c r="Z9" s="170"/>
      <c r="AA9" s="170"/>
    </row>
    <row r="10">
      <c r="A10" s="164"/>
      <c r="B10" s="186">
        <f t="shared" si="1"/>
        <v>6</v>
      </c>
      <c r="C10" s="203"/>
      <c r="D10" s="203"/>
      <c r="E10" s="196"/>
      <c r="F10" s="189" t="s">
        <v>256</v>
      </c>
      <c r="G10" s="190"/>
      <c r="H10" s="191" t="s">
        <v>257</v>
      </c>
      <c r="I10" s="192" t="s">
        <v>258</v>
      </c>
      <c r="J10" s="192"/>
      <c r="K10" s="193" t="s">
        <v>247</v>
      </c>
      <c r="L10" s="193" t="s">
        <v>42</v>
      </c>
      <c r="M10" s="199"/>
      <c r="N10" s="199"/>
      <c r="O10" s="199"/>
      <c r="P10" s="164"/>
      <c r="Q10" s="164"/>
      <c r="R10" s="164"/>
      <c r="S10" s="164"/>
      <c r="T10" s="164"/>
      <c r="U10" s="164"/>
      <c r="V10" s="164"/>
      <c r="W10" s="164"/>
      <c r="X10" s="164"/>
      <c r="Y10" s="170"/>
      <c r="Z10" s="170"/>
      <c r="AA10" s="170"/>
    </row>
    <row r="11" ht="26.25" customHeight="1">
      <c r="A11" s="164"/>
      <c r="B11" s="186">
        <f t="shared" si="1"/>
        <v>7</v>
      </c>
      <c r="C11" s="203"/>
      <c r="D11" s="204"/>
      <c r="E11" s="196"/>
      <c r="F11" s="189" t="s">
        <v>259</v>
      </c>
      <c r="G11" s="190"/>
      <c r="H11" s="191" t="s">
        <v>260</v>
      </c>
      <c r="I11" s="192" t="s">
        <v>261</v>
      </c>
      <c r="J11" s="192"/>
      <c r="K11" s="193" t="s">
        <v>66</v>
      </c>
      <c r="L11" s="193" t="s">
        <v>66</v>
      </c>
      <c r="M11" s="199"/>
      <c r="N11" s="192"/>
      <c r="O11" s="199"/>
      <c r="P11" s="164"/>
      <c r="Q11" s="164"/>
      <c r="R11" s="164"/>
      <c r="S11" s="164"/>
      <c r="T11" s="164"/>
      <c r="U11" s="164"/>
      <c r="V11" s="164"/>
      <c r="W11" s="164"/>
      <c r="X11" s="164"/>
      <c r="Y11" s="170"/>
      <c r="Z11" s="170"/>
      <c r="AA11" s="170"/>
    </row>
    <row r="12">
      <c r="A12" s="164"/>
      <c r="B12" s="186">
        <f t="shared" si="1"/>
        <v>8</v>
      </c>
      <c r="C12" s="203"/>
      <c r="D12" s="204"/>
      <c r="E12" s="196"/>
      <c r="F12" s="197"/>
      <c r="G12" s="190"/>
      <c r="H12" s="191" t="s">
        <v>262</v>
      </c>
      <c r="I12" s="192" t="s">
        <v>263</v>
      </c>
      <c r="J12" s="192"/>
      <c r="K12" s="193" t="s">
        <v>66</v>
      </c>
      <c r="L12" s="193" t="s">
        <v>66</v>
      </c>
      <c r="M12" s="199"/>
      <c r="N12" s="199"/>
      <c r="O12" s="199"/>
      <c r="P12" s="164"/>
      <c r="Q12" s="164"/>
      <c r="R12" s="164"/>
      <c r="S12" s="164"/>
      <c r="T12" s="164"/>
      <c r="U12" s="164"/>
      <c r="V12" s="164"/>
      <c r="W12" s="164"/>
      <c r="X12" s="164"/>
      <c r="Y12" s="170"/>
      <c r="Z12" s="170"/>
      <c r="AA12" s="170"/>
    </row>
    <row r="13" ht="26.25" customHeight="1">
      <c r="A13" s="164"/>
      <c r="B13" s="186">
        <f t="shared" si="1"/>
        <v>9</v>
      </c>
      <c r="C13" s="203"/>
      <c r="D13" s="204"/>
      <c r="E13" s="196"/>
      <c r="F13" s="197"/>
      <c r="G13" s="190"/>
      <c r="H13" s="191" t="s">
        <v>264</v>
      </c>
      <c r="I13" s="192" t="s">
        <v>265</v>
      </c>
      <c r="J13" s="192"/>
      <c r="K13" s="193" t="s">
        <v>66</v>
      </c>
      <c r="L13" s="193" t="s">
        <v>66</v>
      </c>
      <c r="M13" s="199"/>
      <c r="N13" s="199"/>
      <c r="O13" s="199"/>
      <c r="P13" s="164"/>
      <c r="Q13" s="164"/>
      <c r="R13" s="164"/>
      <c r="S13" s="164"/>
      <c r="T13" s="164"/>
      <c r="U13" s="164"/>
      <c r="V13" s="164"/>
      <c r="W13" s="164"/>
      <c r="X13" s="164"/>
      <c r="Y13" s="170"/>
      <c r="Z13" s="170"/>
      <c r="AA13" s="170"/>
    </row>
    <row r="14" ht="31.5" customHeight="1">
      <c r="A14" s="164"/>
      <c r="B14" s="186">
        <f t="shared" si="1"/>
        <v>10</v>
      </c>
      <c r="C14" s="203"/>
      <c r="D14" s="204"/>
      <c r="E14" s="196"/>
      <c r="F14" s="197"/>
      <c r="G14" s="190"/>
      <c r="H14" s="191" t="s">
        <v>266</v>
      </c>
      <c r="I14" s="192" t="s">
        <v>265</v>
      </c>
      <c r="J14" s="192"/>
      <c r="K14" s="193" t="s">
        <v>66</v>
      </c>
      <c r="L14" s="193" t="s">
        <v>42</v>
      </c>
      <c r="M14" s="199"/>
      <c r="N14" s="199"/>
      <c r="O14" s="199"/>
      <c r="P14" s="164"/>
      <c r="Q14" s="164"/>
      <c r="R14" s="164"/>
      <c r="S14" s="164"/>
      <c r="T14" s="164"/>
      <c r="U14" s="164"/>
      <c r="V14" s="164"/>
      <c r="W14" s="164"/>
      <c r="X14" s="164"/>
      <c r="Y14" s="170"/>
      <c r="Z14" s="170"/>
      <c r="AA14" s="170"/>
    </row>
    <row r="15">
      <c r="A15" s="164"/>
      <c r="B15" s="186">
        <f t="shared" si="1"/>
        <v>11</v>
      </c>
      <c r="C15" s="195"/>
      <c r="D15" s="205"/>
      <c r="E15" s="196"/>
      <c r="F15" s="189" t="s">
        <v>190</v>
      </c>
      <c r="G15" s="206" t="s">
        <v>188</v>
      </c>
      <c r="H15" s="191" t="s">
        <v>267</v>
      </c>
      <c r="I15" s="192" t="s">
        <v>253</v>
      </c>
      <c r="J15" s="199"/>
      <c r="K15" s="193" t="s">
        <v>247</v>
      </c>
      <c r="L15" s="193" t="s">
        <v>42</v>
      </c>
      <c r="M15" s="199"/>
      <c r="N15" s="192" t="s">
        <v>268</v>
      </c>
      <c r="O15" s="194" t="s">
        <v>249</v>
      </c>
      <c r="P15" s="164"/>
      <c r="Q15" s="164"/>
      <c r="R15" s="164"/>
      <c r="S15" s="164"/>
      <c r="T15" s="164"/>
      <c r="U15" s="164"/>
      <c r="V15" s="164"/>
      <c r="W15" s="164"/>
      <c r="X15" s="164"/>
      <c r="Y15" s="170"/>
      <c r="Z15" s="170"/>
      <c r="AA15" s="170"/>
    </row>
    <row r="16">
      <c r="A16" s="164"/>
      <c r="B16" s="186">
        <f t="shared" si="1"/>
        <v>12</v>
      </c>
      <c r="C16" s="203" t="s">
        <v>164</v>
      </c>
      <c r="D16" s="204" t="s">
        <v>165</v>
      </c>
      <c r="E16" s="188" t="s">
        <v>269</v>
      </c>
      <c r="F16" s="189" t="s">
        <v>167</v>
      </c>
      <c r="G16" s="190" t="s">
        <v>243</v>
      </c>
      <c r="H16" s="191" t="s">
        <v>244</v>
      </c>
      <c r="I16" s="192" t="s">
        <v>270</v>
      </c>
      <c r="J16" s="192"/>
      <c r="K16" s="193" t="s">
        <v>247</v>
      </c>
      <c r="L16" s="193" t="s">
        <v>42</v>
      </c>
      <c r="M16" s="192"/>
      <c r="N16" s="192" t="s">
        <v>255</v>
      </c>
      <c r="O16" s="192"/>
      <c r="P16" s="164"/>
      <c r="Q16" s="164"/>
      <c r="R16" s="164"/>
      <c r="S16" s="164"/>
      <c r="T16" s="164"/>
      <c r="U16" s="164"/>
      <c r="V16" s="164"/>
      <c r="W16" s="164"/>
      <c r="X16" s="164"/>
      <c r="Y16" s="170"/>
      <c r="Z16" s="170"/>
      <c r="AA16" s="170"/>
    </row>
    <row r="17">
      <c r="A17" s="164"/>
      <c r="B17" s="186">
        <f t="shared" si="1"/>
        <v>13</v>
      </c>
      <c r="C17" s="203"/>
      <c r="D17" s="203"/>
      <c r="E17" s="196"/>
      <c r="F17" s="197"/>
      <c r="G17" s="198" t="s">
        <v>271</v>
      </c>
      <c r="H17" s="191" t="s">
        <v>250</v>
      </c>
      <c r="I17" s="192" t="str">
        <f t="shared" ref="I17:I18" si="3">G17&amp;"が表示されていること"</f>
        <v>10％税込金額が表示されていること</v>
      </c>
      <c r="J17" s="199"/>
      <c r="K17" s="193" t="s">
        <v>66</v>
      </c>
      <c r="L17" s="193" t="s">
        <v>42</v>
      </c>
      <c r="M17" s="199"/>
      <c r="N17" s="199"/>
      <c r="O17" s="192"/>
      <c r="P17" s="164"/>
      <c r="Q17" s="164"/>
      <c r="R17" s="164"/>
      <c r="S17" s="164"/>
      <c r="T17" s="164"/>
      <c r="U17" s="164"/>
      <c r="V17" s="164"/>
      <c r="W17" s="164"/>
      <c r="X17" s="164"/>
      <c r="Y17" s="170"/>
      <c r="Z17" s="170"/>
      <c r="AA17" s="170"/>
    </row>
    <row r="18">
      <c r="A18" s="164"/>
      <c r="B18" s="186">
        <f t="shared" si="1"/>
        <v>14</v>
      </c>
      <c r="C18" s="203"/>
      <c r="D18" s="203"/>
      <c r="E18" s="196"/>
      <c r="F18" s="197"/>
      <c r="G18" s="198" t="s">
        <v>272</v>
      </c>
      <c r="H18" s="191" t="s">
        <v>250</v>
      </c>
      <c r="I18" s="192" t="str">
        <f t="shared" si="3"/>
        <v>8%税込金額が表示されていること</v>
      </c>
      <c r="J18" s="199"/>
      <c r="K18" s="193" t="s">
        <v>66</v>
      </c>
      <c r="L18" s="193" t="s">
        <v>42</v>
      </c>
      <c r="M18" s="199"/>
      <c r="N18" s="199"/>
      <c r="O18" s="192"/>
      <c r="P18" s="164"/>
      <c r="Q18" s="164"/>
      <c r="R18" s="164"/>
      <c r="S18" s="164"/>
      <c r="T18" s="164"/>
      <c r="U18" s="164"/>
      <c r="V18" s="164"/>
      <c r="W18" s="164"/>
      <c r="X18" s="164"/>
      <c r="Y18" s="170"/>
      <c r="Z18" s="170"/>
      <c r="AA18" s="170"/>
    </row>
    <row r="19">
      <c r="A19" s="164"/>
      <c r="B19" s="186">
        <f t="shared" si="1"/>
        <v>15</v>
      </c>
      <c r="C19" s="203"/>
      <c r="D19" s="203"/>
      <c r="E19" s="196"/>
      <c r="F19" s="189" t="s">
        <v>243</v>
      </c>
      <c r="G19" s="207" t="s">
        <v>273</v>
      </c>
      <c r="H19" s="191" t="s">
        <v>252</v>
      </c>
      <c r="I19" s="192" t="s">
        <v>253</v>
      </c>
      <c r="J19" s="199"/>
      <c r="K19" s="193" t="s">
        <v>66</v>
      </c>
      <c r="L19" s="193" t="s">
        <v>42</v>
      </c>
      <c r="M19" s="199"/>
      <c r="N19" s="192"/>
      <c r="O19" s="199"/>
      <c r="P19" s="164"/>
      <c r="Q19" s="164"/>
      <c r="R19" s="164"/>
      <c r="S19" s="164"/>
      <c r="T19" s="164"/>
      <c r="U19" s="164"/>
      <c r="V19" s="164"/>
      <c r="W19" s="164"/>
      <c r="X19" s="164"/>
      <c r="Y19" s="170"/>
      <c r="Z19" s="170"/>
      <c r="AA19" s="170"/>
    </row>
    <row r="20" ht="36.75" customHeight="1">
      <c r="A20" s="164"/>
      <c r="B20" s="186">
        <f t="shared" si="1"/>
        <v>16</v>
      </c>
      <c r="C20" s="203"/>
      <c r="D20" s="203"/>
      <c r="E20" s="196"/>
      <c r="F20" s="197"/>
      <c r="G20" s="208"/>
      <c r="H20" s="191" t="s">
        <v>274</v>
      </c>
      <c r="I20" s="192" t="s">
        <v>275</v>
      </c>
      <c r="J20" s="192"/>
      <c r="K20" s="193" t="s">
        <v>66</v>
      </c>
      <c r="L20" s="193" t="s">
        <v>42</v>
      </c>
      <c r="M20" s="192"/>
      <c r="N20" s="199"/>
      <c r="O20" s="199"/>
      <c r="P20" s="164"/>
      <c r="Q20" s="164"/>
      <c r="R20" s="164"/>
      <c r="S20" s="164"/>
      <c r="T20" s="164"/>
      <c r="U20" s="164"/>
      <c r="V20" s="164"/>
      <c r="W20" s="164"/>
      <c r="X20" s="164"/>
      <c r="Y20" s="170"/>
      <c r="Z20" s="170"/>
      <c r="AA20" s="170"/>
    </row>
    <row r="21" ht="38.25" customHeight="1">
      <c r="A21" s="164"/>
      <c r="B21" s="186">
        <f t="shared" si="1"/>
        <v>17</v>
      </c>
      <c r="C21" s="203"/>
      <c r="D21" s="203"/>
      <c r="E21" s="196"/>
      <c r="F21" s="202"/>
      <c r="G21" s="209" t="s">
        <v>276</v>
      </c>
      <c r="H21" s="191" t="s">
        <v>254</v>
      </c>
      <c r="I21" s="192" t="s">
        <v>277</v>
      </c>
      <c r="J21" s="192"/>
      <c r="K21" s="193" t="s">
        <v>247</v>
      </c>
      <c r="L21" s="193" t="s">
        <v>42</v>
      </c>
      <c r="M21" s="192"/>
      <c r="N21" s="192" t="s">
        <v>255</v>
      </c>
      <c r="O21" s="199"/>
      <c r="P21" s="164"/>
      <c r="Q21" s="164"/>
      <c r="R21" s="164"/>
      <c r="S21" s="164"/>
      <c r="T21" s="164"/>
      <c r="U21" s="164"/>
      <c r="V21" s="164"/>
      <c r="W21" s="164"/>
      <c r="X21" s="164"/>
      <c r="Y21" s="170"/>
      <c r="Z21" s="170"/>
      <c r="AA21" s="170"/>
    </row>
    <row r="22">
      <c r="A22" s="164"/>
      <c r="B22" s="186">
        <f t="shared" si="1"/>
        <v>18</v>
      </c>
      <c r="C22" s="203"/>
      <c r="D22" s="203"/>
      <c r="E22" s="196"/>
      <c r="F22" s="197" t="s">
        <v>256</v>
      </c>
      <c r="G22" s="190"/>
      <c r="H22" s="191" t="s">
        <v>257</v>
      </c>
      <c r="I22" s="192" t="s">
        <v>258</v>
      </c>
      <c r="J22" s="192"/>
      <c r="K22" s="193" t="s">
        <v>66</v>
      </c>
      <c r="L22" s="193" t="s">
        <v>42</v>
      </c>
      <c r="M22" s="199"/>
      <c r="N22" s="199"/>
      <c r="O22" s="199"/>
      <c r="P22" s="164"/>
      <c r="Q22" s="164"/>
      <c r="R22" s="164"/>
      <c r="S22" s="164"/>
      <c r="T22" s="164"/>
      <c r="U22" s="164"/>
      <c r="V22" s="164"/>
      <c r="W22" s="164"/>
      <c r="X22" s="164"/>
      <c r="Y22" s="170"/>
      <c r="Z22" s="170"/>
      <c r="AA22" s="170"/>
    </row>
    <row r="23">
      <c r="A23" s="164"/>
      <c r="B23" s="186">
        <f t="shared" si="1"/>
        <v>19</v>
      </c>
      <c r="C23" s="203"/>
      <c r="D23" s="204"/>
      <c r="E23" s="196"/>
      <c r="F23" s="189" t="s">
        <v>259</v>
      </c>
      <c r="G23" s="190"/>
      <c r="H23" s="191" t="s">
        <v>278</v>
      </c>
      <c r="I23" s="192" t="s">
        <v>261</v>
      </c>
      <c r="J23" s="192"/>
      <c r="K23" s="193" t="s">
        <v>66</v>
      </c>
      <c r="L23" s="193" t="s">
        <v>66</v>
      </c>
      <c r="M23" s="192" t="s">
        <v>279</v>
      </c>
      <c r="N23" s="192" t="s">
        <v>280</v>
      </c>
      <c r="O23" s="199"/>
      <c r="P23" s="164"/>
      <c r="Q23" s="164"/>
      <c r="R23" s="164"/>
      <c r="S23" s="164"/>
      <c r="T23" s="164"/>
      <c r="U23" s="164"/>
      <c r="V23" s="164"/>
      <c r="W23" s="164"/>
      <c r="X23" s="164"/>
      <c r="Y23" s="170"/>
      <c r="Z23" s="170"/>
      <c r="AA23" s="170"/>
    </row>
    <row r="24">
      <c r="A24" s="164"/>
      <c r="B24" s="186">
        <f t="shared" si="1"/>
        <v>20</v>
      </c>
      <c r="C24" s="203"/>
      <c r="D24" s="204"/>
      <c r="E24" s="196"/>
      <c r="F24" s="197"/>
      <c r="G24" s="190"/>
      <c r="H24" s="191" t="s">
        <v>281</v>
      </c>
      <c r="I24" s="192" t="s">
        <v>263</v>
      </c>
      <c r="J24" s="192"/>
      <c r="K24" s="193" t="s">
        <v>66</v>
      </c>
      <c r="L24" s="193" t="s">
        <v>66</v>
      </c>
      <c r="M24" s="192" t="s">
        <v>279</v>
      </c>
      <c r="N24" s="199"/>
      <c r="O24" s="199"/>
      <c r="P24" s="164"/>
      <c r="Q24" s="164"/>
      <c r="R24" s="164"/>
      <c r="S24" s="164"/>
      <c r="T24" s="164"/>
      <c r="U24" s="164"/>
      <c r="V24" s="164"/>
      <c r="W24" s="164"/>
      <c r="X24" s="164"/>
      <c r="Y24" s="170"/>
      <c r="Z24" s="170"/>
      <c r="AA24" s="170"/>
    </row>
    <row r="25" ht="28.5" customHeight="1">
      <c r="A25" s="164"/>
      <c r="B25" s="186">
        <f t="shared" si="1"/>
        <v>21</v>
      </c>
      <c r="C25" s="203"/>
      <c r="D25" s="204"/>
      <c r="E25" s="196"/>
      <c r="F25" s="197"/>
      <c r="G25" s="190"/>
      <c r="H25" s="191" t="s">
        <v>282</v>
      </c>
      <c r="I25" s="192" t="s">
        <v>265</v>
      </c>
      <c r="J25" s="192"/>
      <c r="K25" s="193" t="s">
        <v>66</v>
      </c>
      <c r="L25" s="193" t="s">
        <v>66</v>
      </c>
      <c r="M25" s="192" t="s">
        <v>279</v>
      </c>
      <c r="N25" s="199"/>
      <c r="O25" s="199"/>
      <c r="P25" s="164"/>
      <c r="Q25" s="164"/>
      <c r="R25" s="164"/>
      <c r="S25" s="164"/>
      <c r="T25" s="164"/>
      <c r="U25" s="164"/>
      <c r="V25" s="164"/>
      <c r="W25" s="164"/>
      <c r="X25" s="164"/>
      <c r="Y25" s="170"/>
      <c r="Z25" s="170"/>
      <c r="AA25" s="170"/>
    </row>
    <row r="26" ht="32.25" customHeight="1">
      <c r="A26" s="164"/>
      <c r="B26" s="186">
        <f t="shared" si="1"/>
        <v>22</v>
      </c>
      <c r="C26" s="203"/>
      <c r="D26" s="204"/>
      <c r="E26" s="196"/>
      <c r="F26" s="197"/>
      <c r="G26" s="190"/>
      <c r="H26" s="191" t="s">
        <v>266</v>
      </c>
      <c r="I26" s="192" t="s">
        <v>265</v>
      </c>
      <c r="J26" s="192"/>
      <c r="K26" s="193" t="s">
        <v>66</v>
      </c>
      <c r="L26" s="193" t="s">
        <v>42</v>
      </c>
      <c r="M26" s="199"/>
      <c r="N26" s="199"/>
      <c r="O26" s="199"/>
      <c r="P26" s="164"/>
      <c r="Q26" s="164"/>
      <c r="R26" s="164"/>
      <c r="S26" s="164"/>
      <c r="T26" s="164"/>
      <c r="U26" s="164"/>
      <c r="V26" s="164"/>
      <c r="W26" s="164"/>
      <c r="X26" s="164"/>
      <c r="Y26" s="170"/>
      <c r="Z26" s="170"/>
      <c r="AA26" s="170"/>
    </row>
    <row r="27">
      <c r="A27" s="164"/>
      <c r="B27" s="186">
        <f t="shared" si="1"/>
        <v>23</v>
      </c>
      <c r="C27" s="203"/>
      <c r="D27" s="204"/>
      <c r="E27" s="196"/>
      <c r="F27" s="189" t="s">
        <v>190</v>
      </c>
      <c r="G27" s="206" t="s">
        <v>188</v>
      </c>
      <c r="H27" s="191" t="s">
        <v>267</v>
      </c>
      <c r="I27" s="192" t="s">
        <v>283</v>
      </c>
      <c r="J27" s="199"/>
      <c r="K27" s="193" t="s">
        <v>66</v>
      </c>
      <c r="L27" s="193" t="s">
        <v>42</v>
      </c>
      <c r="M27" s="192"/>
      <c r="N27" s="192" t="s">
        <v>284</v>
      </c>
      <c r="O27" s="194" t="s">
        <v>249</v>
      </c>
      <c r="P27" s="164"/>
      <c r="Q27" s="164"/>
      <c r="R27" s="164"/>
      <c r="S27" s="164"/>
      <c r="T27" s="164"/>
      <c r="U27" s="164"/>
      <c r="V27" s="164"/>
      <c r="W27" s="164"/>
      <c r="X27" s="164"/>
      <c r="Y27" s="170"/>
      <c r="Z27" s="170"/>
      <c r="AA27" s="170"/>
    </row>
    <row r="28">
      <c r="A28" s="164"/>
      <c r="B28" s="186">
        <f t="shared" si="1"/>
        <v>24</v>
      </c>
      <c r="C28" s="203" t="s">
        <v>164</v>
      </c>
      <c r="D28" s="204" t="s">
        <v>165</v>
      </c>
      <c r="E28" s="188" t="s">
        <v>285</v>
      </c>
      <c r="F28" s="189" t="s">
        <v>167</v>
      </c>
      <c r="G28" s="190" t="s">
        <v>243</v>
      </c>
      <c r="H28" s="191" t="s">
        <v>244</v>
      </c>
      <c r="I28" s="192" t="s">
        <v>245</v>
      </c>
      <c r="J28" s="192" t="s">
        <v>286</v>
      </c>
      <c r="K28" s="193" t="s">
        <v>42</v>
      </c>
      <c r="L28" s="193" t="s">
        <v>42</v>
      </c>
      <c r="M28" s="199"/>
      <c r="N28" s="192" t="s">
        <v>287</v>
      </c>
      <c r="O28" s="194" t="s">
        <v>249</v>
      </c>
      <c r="P28" s="164"/>
      <c r="Q28" s="164"/>
      <c r="R28" s="164"/>
      <c r="S28" s="164"/>
      <c r="T28" s="164"/>
      <c r="U28" s="164"/>
      <c r="V28" s="164"/>
      <c r="W28" s="164"/>
      <c r="X28" s="164"/>
      <c r="Y28" s="170"/>
      <c r="Z28" s="170"/>
      <c r="AA28" s="170"/>
    </row>
    <row r="29">
      <c r="A29" s="164"/>
      <c r="B29" s="186">
        <f t="shared" si="1"/>
        <v>25</v>
      </c>
      <c r="C29" s="203"/>
      <c r="D29" s="204"/>
      <c r="E29" s="196"/>
      <c r="F29" s="197"/>
      <c r="G29" s="198" t="s">
        <v>219</v>
      </c>
      <c r="H29" s="191" t="s">
        <v>250</v>
      </c>
      <c r="I29" s="192" t="str">
        <f t="shared" ref="I29:I30" si="4">G29&amp;"が表示されていること"</f>
        <v>10％税抜金額が表示されていること</v>
      </c>
      <c r="J29" s="199"/>
      <c r="K29" s="193" t="s">
        <v>42</v>
      </c>
      <c r="L29" s="193" t="s">
        <v>42</v>
      </c>
      <c r="M29" s="199"/>
      <c r="N29" s="199"/>
      <c r="O29" s="199"/>
      <c r="P29" s="164"/>
      <c r="Q29" s="164"/>
      <c r="R29" s="164"/>
      <c r="S29" s="164"/>
      <c r="T29" s="164"/>
      <c r="U29" s="164"/>
      <c r="V29" s="164"/>
      <c r="W29" s="164"/>
      <c r="X29" s="164"/>
      <c r="Y29" s="170"/>
      <c r="Z29" s="170"/>
      <c r="AA29" s="170"/>
    </row>
    <row r="30">
      <c r="A30" s="164"/>
      <c r="B30" s="186">
        <f t="shared" si="1"/>
        <v>26</v>
      </c>
      <c r="C30" s="203"/>
      <c r="D30" s="204"/>
      <c r="E30" s="196"/>
      <c r="F30" s="197"/>
      <c r="G30" s="198" t="s">
        <v>222</v>
      </c>
      <c r="H30" s="191" t="s">
        <v>250</v>
      </c>
      <c r="I30" s="192" t="str">
        <f t="shared" si="4"/>
        <v>8%税抜金額が表示されていること</v>
      </c>
      <c r="J30" s="199"/>
      <c r="K30" s="193" t="s">
        <v>42</v>
      </c>
      <c r="L30" s="193" t="s">
        <v>42</v>
      </c>
      <c r="M30" s="199"/>
      <c r="N30" s="199"/>
      <c r="O30" s="199"/>
      <c r="P30" s="164"/>
      <c r="Q30" s="164"/>
      <c r="R30" s="164"/>
      <c r="S30" s="164"/>
      <c r="T30" s="164"/>
      <c r="U30" s="164"/>
      <c r="V30" s="164"/>
      <c r="W30" s="164"/>
      <c r="X30" s="164"/>
      <c r="Y30" s="170"/>
      <c r="Z30" s="170"/>
      <c r="AA30" s="170"/>
    </row>
    <row r="31">
      <c r="A31" s="164"/>
      <c r="B31" s="186">
        <f t="shared" si="1"/>
        <v>27</v>
      </c>
      <c r="C31" s="203"/>
      <c r="D31" s="204"/>
      <c r="E31" s="196"/>
      <c r="F31" s="189" t="s">
        <v>243</v>
      </c>
      <c r="G31" s="207" t="s">
        <v>273</v>
      </c>
      <c r="H31" s="191" t="s">
        <v>252</v>
      </c>
      <c r="I31" s="192" t="s">
        <v>253</v>
      </c>
      <c r="J31" s="199"/>
      <c r="K31" s="193" t="s">
        <v>42</v>
      </c>
      <c r="L31" s="193" t="s">
        <v>42</v>
      </c>
      <c r="M31" s="199"/>
      <c r="N31" s="199"/>
      <c r="O31" s="199"/>
      <c r="P31" s="164"/>
      <c r="Q31" s="164"/>
      <c r="R31" s="164"/>
      <c r="S31" s="164"/>
      <c r="T31" s="164"/>
      <c r="U31" s="164"/>
      <c r="V31" s="164"/>
      <c r="W31" s="164"/>
      <c r="X31" s="164"/>
      <c r="Y31" s="170"/>
      <c r="Z31" s="170"/>
      <c r="AA31" s="170"/>
    </row>
    <row r="32" ht="36.0" customHeight="1">
      <c r="A32" s="164"/>
      <c r="B32" s="186">
        <f t="shared" si="1"/>
        <v>28</v>
      </c>
      <c r="C32" s="203"/>
      <c r="D32" s="204"/>
      <c r="E32" s="196"/>
      <c r="F32" s="202"/>
      <c r="G32" s="207" t="s">
        <v>276</v>
      </c>
      <c r="H32" s="191" t="s">
        <v>254</v>
      </c>
      <c r="I32" s="192" t="s">
        <v>253</v>
      </c>
      <c r="J32" s="192"/>
      <c r="K32" s="193" t="s">
        <v>42</v>
      </c>
      <c r="L32" s="193" t="s">
        <v>42</v>
      </c>
      <c r="M32" s="199"/>
      <c r="N32" s="192" t="s">
        <v>288</v>
      </c>
      <c r="O32" s="194" t="s">
        <v>249</v>
      </c>
      <c r="P32" s="164"/>
      <c r="Q32" s="164"/>
      <c r="R32" s="164"/>
      <c r="S32" s="164"/>
      <c r="T32" s="164"/>
      <c r="U32" s="164"/>
      <c r="V32" s="164"/>
      <c r="W32" s="164"/>
      <c r="X32" s="164"/>
      <c r="Y32" s="170"/>
      <c r="Z32" s="170"/>
      <c r="AA32" s="170"/>
    </row>
    <row r="33" ht="30.0" customHeight="1">
      <c r="A33" s="164"/>
      <c r="B33" s="186">
        <f t="shared" si="1"/>
        <v>29</v>
      </c>
      <c r="C33" s="203"/>
      <c r="D33" s="204"/>
      <c r="E33" s="196"/>
      <c r="F33" s="197" t="s">
        <v>256</v>
      </c>
      <c r="G33" s="190"/>
      <c r="H33" s="191" t="s">
        <v>257</v>
      </c>
      <c r="I33" s="192" t="s">
        <v>258</v>
      </c>
      <c r="J33" s="192"/>
      <c r="K33" s="193" t="s">
        <v>42</v>
      </c>
      <c r="L33" s="193" t="s">
        <v>42</v>
      </c>
      <c r="M33" s="199"/>
      <c r="N33" s="199"/>
      <c r="O33" s="199"/>
      <c r="P33" s="164"/>
      <c r="Q33" s="164"/>
      <c r="R33" s="164"/>
      <c r="S33" s="164"/>
      <c r="T33" s="164"/>
      <c r="U33" s="164"/>
      <c r="V33" s="164"/>
      <c r="W33" s="164"/>
      <c r="X33" s="164"/>
      <c r="Y33" s="170"/>
      <c r="Z33" s="170"/>
      <c r="AA33" s="170"/>
    </row>
    <row r="34" ht="28.5" customHeight="1">
      <c r="A34" s="164"/>
      <c r="B34" s="186">
        <f t="shared" si="1"/>
        <v>30</v>
      </c>
      <c r="C34" s="203"/>
      <c r="D34" s="204"/>
      <c r="E34" s="196"/>
      <c r="F34" s="189" t="s">
        <v>259</v>
      </c>
      <c r="G34" s="190"/>
      <c r="H34" s="191" t="s">
        <v>260</v>
      </c>
      <c r="I34" s="192" t="s">
        <v>261</v>
      </c>
      <c r="J34" s="192"/>
      <c r="K34" s="193" t="s">
        <v>42</v>
      </c>
      <c r="L34" s="193" t="s">
        <v>42</v>
      </c>
      <c r="M34" s="199"/>
      <c r="N34" s="199"/>
      <c r="O34" s="199"/>
      <c r="P34" s="164"/>
      <c r="Q34" s="164"/>
      <c r="R34" s="164"/>
      <c r="S34" s="164"/>
      <c r="T34" s="164"/>
      <c r="U34" s="164"/>
      <c r="V34" s="164"/>
      <c r="W34" s="164"/>
      <c r="X34" s="164"/>
      <c r="Y34" s="170"/>
      <c r="Z34" s="170"/>
      <c r="AA34" s="170"/>
    </row>
    <row r="35">
      <c r="A35" s="164"/>
      <c r="B35" s="186">
        <f t="shared" si="1"/>
        <v>31</v>
      </c>
      <c r="C35" s="203"/>
      <c r="D35" s="204"/>
      <c r="E35" s="196"/>
      <c r="F35" s="197"/>
      <c r="G35" s="190"/>
      <c r="H35" s="191" t="s">
        <v>262</v>
      </c>
      <c r="I35" s="192" t="s">
        <v>263</v>
      </c>
      <c r="J35" s="192"/>
      <c r="K35" s="193" t="s">
        <v>42</v>
      </c>
      <c r="L35" s="193" t="s">
        <v>42</v>
      </c>
      <c r="M35" s="199"/>
      <c r="N35" s="199"/>
      <c r="O35" s="199"/>
      <c r="P35" s="164"/>
      <c r="Q35" s="164"/>
      <c r="R35" s="164"/>
      <c r="S35" s="164"/>
      <c r="T35" s="164"/>
      <c r="U35" s="164"/>
      <c r="V35" s="164"/>
      <c r="W35" s="164"/>
      <c r="X35" s="164"/>
      <c r="Y35" s="170"/>
      <c r="Z35" s="170"/>
      <c r="AA35" s="170"/>
    </row>
    <row r="36" ht="28.5" customHeight="1">
      <c r="A36" s="164"/>
      <c r="B36" s="186">
        <f t="shared" si="1"/>
        <v>32</v>
      </c>
      <c r="C36" s="203"/>
      <c r="D36" s="204"/>
      <c r="E36" s="196"/>
      <c r="F36" s="197"/>
      <c r="G36" s="190"/>
      <c r="H36" s="191" t="s">
        <v>264</v>
      </c>
      <c r="I36" s="192" t="s">
        <v>265</v>
      </c>
      <c r="J36" s="192"/>
      <c r="K36" s="193" t="s">
        <v>42</v>
      </c>
      <c r="L36" s="193" t="s">
        <v>42</v>
      </c>
      <c r="M36" s="199"/>
      <c r="N36" s="199"/>
      <c r="O36" s="199"/>
      <c r="P36" s="164"/>
      <c r="Q36" s="164"/>
      <c r="R36" s="164"/>
      <c r="S36" s="164"/>
      <c r="T36" s="164"/>
      <c r="U36" s="164"/>
      <c r="V36" s="164"/>
      <c r="W36" s="164"/>
      <c r="X36" s="164"/>
      <c r="Y36" s="170"/>
      <c r="Z36" s="170"/>
      <c r="AA36" s="170"/>
    </row>
    <row r="37" ht="32.25" customHeight="1">
      <c r="A37" s="164"/>
      <c r="B37" s="186">
        <f t="shared" si="1"/>
        <v>33</v>
      </c>
      <c r="C37" s="203"/>
      <c r="D37" s="204"/>
      <c r="E37" s="196"/>
      <c r="F37" s="197"/>
      <c r="G37" s="190"/>
      <c r="H37" s="191" t="s">
        <v>266</v>
      </c>
      <c r="I37" s="192" t="s">
        <v>265</v>
      </c>
      <c r="J37" s="192"/>
      <c r="K37" s="193" t="s">
        <v>42</v>
      </c>
      <c r="L37" s="193" t="s">
        <v>42</v>
      </c>
      <c r="M37" s="199"/>
      <c r="N37" s="199"/>
      <c r="O37" s="199"/>
      <c r="P37" s="164"/>
      <c r="Q37" s="164"/>
      <c r="R37" s="164"/>
      <c r="S37" s="164"/>
      <c r="T37" s="164"/>
      <c r="U37" s="164"/>
      <c r="V37" s="164"/>
      <c r="W37" s="164"/>
      <c r="X37" s="164"/>
      <c r="Y37" s="170"/>
      <c r="Z37" s="170"/>
      <c r="AA37" s="170"/>
    </row>
    <row r="38">
      <c r="A38" s="164"/>
      <c r="B38" s="186">
        <f t="shared" si="1"/>
        <v>34</v>
      </c>
      <c r="C38" s="203"/>
      <c r="D38" s="204"/>
      <c r="E38" s="196"/>
      <c r="F38" s="189" t="s">
        <v>190</v>
      </c>
      <c r="G38" s="206" t="s">
        <v>188</v>
      </c>
      <c r="H38" s="191" t="s">
        <v>267</v>
      </c>
      <c r="I38" s="192" t="s">
        <v>253</v>
      </c>
      <c r="J38" s="199"/>
      <c r="K38" s="193" t="s">
        <v>42</v>
      </c>
      <c r="L38" s="193" t="s">
        <v>42</v>
      </c>
      <c r="M38" s="199"/>
      <c r="N38" s="199"/>
      <c r="O38" s="199"/>
      <c r="P38" s="164"/>
      <c r="Q38" s="164"/>
      <c r="R38" s="164"/>
      <c r="S38" s="164"/>
      <c r="T38" s="164"/>
      <c r="U38" s="164"/>
      <c r="V38" s="164"/>
      <c r="W38" s="164"/>
      <c r="X38" s="164"/>
      <c r="Y38" s="170"/>
      <c r="Z38" s="170"/>
      <c r="AA38" s="170"/>
    </row>
    <row r="39">
      <c r="A39" s="164"/>
      <c r="B39" s="186">
        <f t="shared" si="1"/>
        <v>35</v>
      </c>
      <c r="C39" s="203" t="s">
        <v>164</v>
      </c>
      <c r="D39" s="204" t="s">
        <v>165</v>
      </c>
      <c r="E39" s="188" t="s">
        <v>289</v>
      </c>
      <c r="F39" s="189" t="s">
        <v>167</v>
      </c>
      <c r="G39" s="190" t="s">
        <v>243</v>
      </c>
      <c r="H39" s="191" t="s">
        <v>244</v>
      </c>
      <c r="I39" s="192" t="s">
        <v>245</v>
      </c>
      <c r="J39" s="192"/>
      <c r="K39" s="193" t="s">
        <v>66</v>
      </c>
      <c r="L39" s="193" t="s">
        <v>42</v>
      </c>
      <c r="M39" s="199"/>
      <c r="N39" s="192" t="s">
        <v>290</v>
      </c>
      <c r="O39" s="194" t="s">
        <v>249</v>
      </c>
      <c r="P39" s="164"/>
      <c r="Q39" s="164"/>
      <c r="R39" s="164"/>
      <c r="S39" s="164"/>
      <c r="T39" s="164"/>
      <c r="U39" s="164"/>
      <c r="V39" s="164"/>
      <c r="W39" s="164"/>
      <c r="X39" s="164"/>
      <c r="Y39" s="170"/>
      <c r="Z39" s="170"/>
      <c r="AA39" s="170"/>
    </row>
    <row r="40" ht="36.0" customHeight="1">
      <c r="A40" s="164"/>
      <c r="B40" s="186">
        <f t="shared" si="1"/>
        <v>36</v>
      </c>
      <c r="C40" s="195"/>
      <c r="D40" s="195"/>
      <c r="E40" s="196"/>
      <c r="F40" s="197"/>
      <c r="G40" s="198" t="s">
        <v>219</v>
      </c>
      <c r="H40" s="191" t="s">
        <v>250</v>
      </c>
      <c r="I40" s="192" t="str">
        <f t="shared" ref="I40:I41" si="5">G40&amp;"が表示されていること"</f>
        <v>10％税抜金額が表示されていること</v>
      </c>
      <c r="J40" s="199"/>
      <c r="K40" s="193" t="s">
        <v>66</v>
      </c>
      <c r="L40" s="193" t="s">
        <v>42</v>
      </c>
      <c r="M40" s="199"/>
      <c r="N40" s="199"/>
      <c r="O40" s="199"/>
      <c r="P40" s="164"/>
      <c r="Q40" s="164"/>
      <c r="R40" s="164"/>
      <c r="S40" s="164"/>
      <c r="T40" s="164"/>
      <c r="U40" s="164"/>
      <c r="V40" s="164"/>
      <c r="W40" s="164"/>
      <c r="X40" s="164"/>
      <c r="Y40" s="170"/>
      <c r="Z40" s="170"/>
      <c r="AA40" s="170"/>
    </row>
    <row r="41" ht="36.0" customHeight="1">
      <c r="A41" s="164"/>
      <c r="B41" s="186">
        <f t="shared" si="1"/>
        <v>37</v>
      </c>
      <c r="C41" s="195"/>
      <c r="D41" s="195"/>
      <c r="E41" s="196"/>
      <c r="F41" s="197"/>
      <c r="G41" s="198" t="s">
        <v>222</v>
      </c>
      <c r="H41" s="191" t="s">
        <v>250</v>
      </c>
      <c r="I41" s="192" t="str">
        <f t="shared" si="5"/>
        <v>8%税抜金額が表示されていること</v>
      </c>
      <c r="J41" s="199"/>
      <c r="K41" s="193" t="s">
        <v>66</v>
      </c>
      <c r="L41" s="193" t="s">
        <v>42</v>
      </c>
      <c r="M41" s="199"/>
      <c r="N41" s="199"/>
      <c r="O41" s="199"/>
      <c r="P41" s="164"/>
      <c r="Q41" s="164"/>
      <c r="R41" s="164"/>
      <c r="S41" s="164"/>
      <c r="T41" s="164"/>
      <c r="U41" s="164"/>
      <c r="V41" s="164"/>
      <c r="W41" s="164"/>
      <c r="X41" s="164"/>
      <c r="Y41" s="170"/>
      <c r="Z41" s="170"/>
      <c r="AA41" s="170"/>
    </row>
    <row r="42">
      <c r="A42" s="164"/>
      <c r="B42" s="186">
        <f t="shared" si="1"/>
        <v>38</v>
      </c>
      <c r="C42" s="195"/>
      <c r="D42" s="195"/>
      <c r="E42" s="196"/>
      <c r="F42" s="189" t="s">
        <v>243</v>
      </c>
      <c r="G42" s="207" t="s">
        <v>273</v>
      </c>
      <c r="H42" s="191" t="s">
        <v>252</v>
      </c>
      <c r="I42" s="192" t="s">
        <v>253</v>
      </c>
      <c r="J42" s="199"/>
      <c r="K42" s="193" t="s">
        <v>66</v>
      </c>
      <c r="L42" s="193" t="s">
        <v>42</v>
      </c>
      <c r="M42" s="199"/>
      <c r="N42" s="199"/>
      <c r="O42" s="199"/>
      <c r="P42" s="164"/>
      <c r="Q42" s="164"/>
      <c r="R42" s="164"/>
      <c r="S42" s="164"/>
      <c r="T42" s="164"/>
      <c r="U42" s="164"/>
      <c r="V42" s="164"/>
      <c r="W42" s="164"/>
      <c r="X42" s="164"/>
      <c r="Y42" s="170"/>
      <c r="Z42" s="170"/>
      <c r="AA42" s="170"/>
    </row>
    <row r="43">
      <c r="A43" s="164"/>
      <c r="B43" s="186">
        <f t="shared" si="1"/>
        <v>39</v>
      </c>
      <c r="C43" s="195"/>
      <c r="D43" s="195"/>
      <c r="E43" s="196"/>
      <c r="F43" s="202"/>
      <c r="G43" s="207" t="s">
        <v>276</v>
      </c>
      <c r="H43" s="191" t="s">
        <v>254</v>
      </c>
      <c r="I43" s="192" t="s">
        <v>253</v>
      </c>
      <c r="J43" s="192" t="s">
        <v>246</v>
      </c>
      <c r="K43" s="193" t="s">
        <v>66</v>
      </c>
      <c r="L43" s="193" t="s">
        <v>42</v>
      </c>
      <c r="M43" s="199"/>
      <c r="N43" s="192" t="s">
        <v>291</v>
      </c>
      <c r="O43" s="199"/>
      <c r="P43" s="164"/>
      <c r="Q43" s="164"/>
      <c r="R43" s="164"/>
      <c r="S43" s="164"/>
      <c r="T43" s="164"/>
      <c r="U43" s="164"/>
      <c r="V43" s="164"/>
      <c r="W43" s="164"/>
      <c r="X43" s="164"/>
      <c r="Y43" s="170"/>
      <c r="Z43" s="170"/>
      <c r="AA43" s="170"/>
    </row>
    <row r="44" ht="34.5" customHeight="1">
      <c r="A44" s="164"/>
      <c r="B44" s="186">
        <f t="shared" si="1"/>
        <v>40</v>
      </c>
      <c r="C44" s="195"/>
      <c r="D44" s="195"/>
      <c r="E44" s="196"/>
      <c r="F44" s="189" t="s">
        <v>256</v>
      </c>
      <c r="G44" s="190"/>
      <c r="H44" s="191" t="s">
        <v>257</v>
      </c>
      <c r="I44" s="192" t="s">
        <v>258</v>
      </c>
      <c r="J44" s="192"/>
      <c r="K44" s="193" t="s">
        <v>66</v>
      </c>
      <c r="L44" s="193" t="s">
        <v>42</v>
      </c>
      <c r="M44" s="199"/>
      <c r="N44" s="192" t="s">
        <v>292</v>
      </c>
      <c r="O44" s="199"/>
      <c r="P44" s="164"/>
      <c r="Q44" s="164"/>
      <c r="R44" s="164"/>
      <c r="S44" s="164"/>
      <c r="T44" s="164"/>
      <c r="U44" s="164"/>
      <c r="V44" s="164"/>
      <c r="W44" s="164"/>
      <c r="X44" s="164"/>
      <c r="Y44" s="170"/>
      <c r="Z44" s="170"/>
      <c r="AA44" s="170"/>
    </row>
    <row r="45">
      <c r="A45" s="164"/>
      <c r="B45" s="186">
        <f t="shared" si="1"/>
        <v>41</v>
      </c>
      <c r="C45" s="195"/>
      <c r="D45" s="195"/>
      <c r="E45" s="196"/>
      <c r="F45" s="189" t="s">
        <v>259</v>
      </c>
      <c r="G45" s="190"/>
      <c r="H45" s="191" t="s">
        <v>260</v>
      </c>
      <c r="I45" s="192" t="s">
        <v>261</v>
      </c>
      <c r="J45" s="192" t="s">
        <v>293</v>
      </c>
      <c r="K45" s="193" t="s">
        <v>66</v>
      </c>
      <c r="L45" s="193" t="s">
        <v>42</v>
      </c>
      <c r="M45" s="199"/>
      <c r="N45" s="192" t="s">
        <v>294</v>
      </c>
      <c r="O45" s="194" t="s">
        <v>295</v>
      </c>
      <c r="P45" s="164"/>
      <c r="Q45" s="164"/>
      <c r="R45" s="164"/>
      <c r="S45" s="164"/>
      <c r="T45" s="164"/>
      <c r="U45" s="164"/>
      <c r="V45" s="164"/>
      <c r="W45" s="164"/>
      <c r="X45" s="164"/>
      <c r="Y45" s="170"/>
      <c r="Z45" s="170"/>
      <c r="AA45" s="170"/>
    </row>
    <row r="46">
      <c r="A46" s="164"/>
      <c r="B46" s="186">
        <f t="shared" si="1"/>
        <v>42</v>
      </c>
      <c r="C46" s="195"/>
      <c r="D46" s="195"/>
      <c r="E46" s="196"/>
      <c r="F46" s="197"/>
      <c r="G46" s="190"/>
      <c r="H46" s="191" t="s">
        <v>262</v>
      </c>
      <c r="I46" s="192" t="s">
        <v>263</v>
      </c>
      <c r="J46" s="192"/>
      <c r="K46" s="193" t="s">
        <v>66</v>
      </c>
      <c r="L46" s="193" t="s">
        <v>42</v>
      </c>
      <c r="M46" s="199"/>
      <c r="N46" s="199"/>
      <c r="O46" s="199"/>
      <c r="P46" s="164"/>
      <c r="Q46" s="164"/>
      <c r="R46" s="164"/>
      <c r="S46" s="164"/>
      <c r="T46" s="164"/>
      <c r="U46" s="164"/>
      <c r="V46" s="164"/>
      <c r="W46" s="164"/>
      <c r="X46" s="164"/>
      <c r="Y46" s="170"/>
      <c r="Z46" s="170"/>
      <c r="AA46" s="170"/>
    </row>
    <row r="47" ht="32.25" customHeight="1">
      <c r="A47" s="164"/>
      <c r="B47" s="186">
        <f t="shared" si="1"/>
        <v>43</v>
      </c>
      <c r="C47" s="195"/>
      <c r="D47" s="195"/>
      <c r="E47" s="196"/>
      <c r="F47" s="197"/>
      <c r="G47" s="190"/>
      <c r="H47" s="191" t="s">
        <v>264</v>
      </c>
      <c r="I47" s="192" t="s">
        <v>265</v>
      </c>
      <c r="J47" s="192"/>
      <c r="K47" s="193" t="s">
        <v>66</v>
      </c>
      <c r="L47" s="193" t="s">
        <v>42</v>
      </c>
      <c r="M47" s="199"/>
      <c r="N47" s="199"/>
      <c r="O47" s="199"/>
      <c r="P47" s="164"/>
      <c r="Q47" s="164"/>
      <c r="R47" s="164"/>
      <c r="S47" s="164"/>
      <c r="T47" s="164"/>
      <c r="U47" s="164"/>
      <c r="V47" s="164"/>
      <c r="W47" s="164"/>
      <c r="X47" s="164"/>
      <c r="Y47" s="170"/>
      <c r="Z47" s="170"/>
      <c r="AA47" s="170"/>
    </row>
    <row r="48" ht="33.0" customHeight="1">
      <c r="A48" s="164"/>
      <c r="B48" s="186">
        <f t="shared" si="1"/>
        <v>44</v>
      </c>
      <c r="C48" s="195"/>
      <c r="D48" s="195"/>
      <c r="E48" s="196"/>
      <c r="F48" s="197"/>
      <c r="G48" s="190"/>
      <c r="H48" s="191" t="s">
        <v>278</v>
      </c>
      <c r="I48" s="192" t="s">
        <v>261</v>
      </c>
      <c r="J48" s="192"/>
      <c r="K48" s="193" t="s">
        <v>66</v>
      </c>
      <c r="L48" s="193" t="s">
        <v>42</v>
      </c>
      <c r="M48" s="199"/>
      <c r="N48" s="199"/>
      <c r="O48" s="199"/>
      <c r="P48" s="164"/>
      <c r="Q48" s="164"/>
      <c r="R48" s="164"/>
      <c r="S48" s="164"/>
      <c r="T48" s="164"/>
      <c r="U48" s="164"/>
      <c r="V48" s="164"/>
      <c r="W48" s="164"/>
      <c r="X48" s="164"/>
      <c r="Y48" s="170"/>
      <c r="Z48" s="170"/>
      <c r="AA48" s="170"/>
    </row>
    <row r="49" ht="33.0" customHeight="1">
      <c r="A49" s="164"/>
      <c r="B49" s="186">
        <f t="shared" si="1"/>
        <v>45</v>
      </c>
      <c r="C49" s="195"/>
      <c r="D49" s="195"/>
      <c r="E49" s="196"/>
      <c r="F49" s="197"/>
      <c r="G49" s="190"/>
      <c r="H49" s="191" t="s">
        <v>281</v>
      </c>
      <c r="I49" s="192" t="s">
        <v>263</v>
      </c>
      <c r="J49" s="192"/>
      <c r="K49" s="193" t="s">
        <v>66</v>
      </c>
      <c r="L49" s="193" t="s">
        <v>42</v>
      </c>
      <c r="M49" s="199"/>
      <c r="N49" s="199"/>
      <c r="O49" s="199"/>
      <c r="P49" s="164"/>
      <c r="Q49" s="164"/>
      <c r="R49" s="164"/>
      <c r="S49" s="164"/>
      <c r="T49" s="164"/>
      <c r="U49" s="164"/>
      <c r="V49" s="164"/>
      <c r="W49" s="164"/>
      <c r="X49" s="164"/>
      <c r="Y49" s="170"/>
      <c r="Z49" s="170"/>
      <c r="AA49" s="170"/>
    </row>
    <row r="50" ht="33.0" customHeight="1">
      <c r="A50" s="164"/>
      <c r="B50" s="186">
        <f t="shared" si="1"/>
        <v>46</v>
      </c>
      <c r="C50" s="195"/>
      <c r="D50" s="195"/>
      <c r="E50" s="196"/>
      <c r="F50" s="197"/>
      <c r="G50" s="190"/>
      <c r="H50" s="191" t="s">
        <v>282</v>
      </c>
      <c r="I50" s="192" t="s">
        <v>265</v>
      </c>
      <c r="J50" s="192"/>
      <c r="K50" s="193" t="s">
        <v>66</v>
      </c>
      <c r="L50" s="193" t="s">
        <v>42</v>
      </c>
      <c r="M50" s="199"/>
      <c r="N50" s="199"/>
      <c r="O50" s="199"/>
      <c r="P50" s="164"/>
      <c r="Q50" s="164"/>
      <c r="R50" s="164"/>
      <c r="S50" s="164"/>
      <c r="T50" s="164"/>
      <c r="U50" s="164"/>
      <c r="V50" s="164"/>
      <c r="W50" s="164"/>
      <c r="X50" s="164"/>
      <c r="Y50" s="170"/>
      <c r="Z50" s="170"/>
      <c r="AA50" s="170"/>
    </row>
    <row r="51" ht="33.0" customHeight="1">
      <c r="A51" s="164"/>
      <c r="B51" s="186">
        <f t="shared" si="1"/>
        <v>47</v>
      </c>
      <c r="C51" s="195"/>
      <c r="D51" s="195"/>
      <c r="E51" s="196"/>
      <c r="F51" s="197"/>
      <c r="G51" s="190"/>
      <c r="H51" s="191" t="s">
        <v>296</v>
      </c>
      <c r="I51" s="192" t="s">
        <v>261</v>
      </c>
      <c r="J51" s="192"/>
      <c r="K51" s="193" t="s">
        <v>66</v>
      </c>
      <c r="L51" s="193" t="s">
        <v>66</v>
      </c>
      <c r="M51" s="192" t="s">
        <v>279</v>
      </c>
      <c r="N51" s="199"/>
      <c r="O51" s="199"/>
      <c r="P51" s="164"/>
      <c r="Q51" s="164"/>
      <c r="R51" s="164"/>
      <c r="S51" s="164"/>
      <c r="T51" s="164"/>
      <c r="U51" s="164"/>
      <c r="V51" s="164"/>
      <c r="W51" s="164"/>
      <c r="X51" s="164"/>
      <c r="Y51" s="170"/>
      <c r="Z51" s="170"/>
      <c r="AA51" s="170"/>
    </row>
    <row r="52" ht="33.0" customHeight="1">
      <c r="A52" s="164"/>
      <c r="B52" s="186">
        <f t="shared" si="1"/>
        <v>48</v>
      </c>
      <c r="C52" s="195"/>
      <c r="D52" s="195"/>
      <c r="E52" s="196"/>
      <c r="F52" s="197"/>
      <c r="G52" s="190"/>
      <c r="H52" s="191" t="s">
        <v>297</v>
      </c>
      <c r="I52" s="192" t="s">
        <v>263</v>
      </c>
      <c r="J52" s="192"/>
      <c r="K52" s="193" t="s">
        <v>66</v>
      </c>
      <c r="L52" s="193" t="s">
        <v>66</v>
      </c>
      <c r="M52" s="192" t="s">
        <v>279</v>
      </c>
      <c r="N52" s="199"/>
      <c r="O52" s="199"/>
      <c r="P52" s="164"/>
      <c r="Q52" s="164"/>
      <c r="R52" s="164"/>
      <c r="S52" s="164"/>
      <c r="T52" s="164"/>
      <c r="U52" s="164"/>
      <c r="V52" s="164"/>
      <c r="W52" s="164"/>
      <c r="X52" s="164"/>
      <c r="Y52" s="170"/>
      <c r="Z52" s="170"/>
      <c r="AA52" s="170"/>
    </row>
    <row r="53" ht="33.0" customHeight="1">
      <c r="A53" s="164"/>
      <c r="B53" s="186">
        <f t="shared" si="1"/>
        <v>49</v>
      </c>
      <c r="C53" s="195"/>
      <c r="D53" s="195"/>
      <c r="E53" s="196"/>
      <c r="F53" s="197"/>
      <c r="G53" s="190"/>
      <c r="H53" s="191" t="s">
        <v>298</v>
      </c>
      <c r="I53" s="192" t="s">
        <v>265</v>
      </c>
      <c r="J53" s="192"/>
      <c r="K53" s="193" t="s">
        <v>66</v>
      </c>
      <c r="L53" s="193" t="s">
        <v>66</v>
      </c>
      <c r="M53" s="192" t="s">
        <v>279</v>
      </c>
      <c r="N53" s="199"/>
      <c r="O53" s="199"/>
      <c r="P53" s="164"/>
      <c r="Q53" s="164"/>
      <c r="R53" s="164"/>
      <c r="S53" s="164"/>
      <c r="T53" s="164"/>
      <c r="U53" s="164"/>
      <c r="V53" s="164"/>
      <c r="W53" s="164"/>
      <c r="X53" s="164"/>
      <c r="Y53" s="170"/>
      <c r="Z53" s="170"/>
      <c r="AA53" s="170"/>
    </row>
    <row r="54" ht="33.0" customHeight="1">
      <c r="A54" s="164"/>
      <c r="B54" s="186">
        <f t="shared" si="1"/>
        <v>50</v>
      </c>
      <c r="C54" s="195"/>
      <c r="D54" s="195"/>
      <c r="E54" s="196"/>
      <c r="F54" s="197"/>
      <c r="G54" s="190"/>
      <c r="H54" s="191" t="s">
        <v>266</v>
      </c>
      <c r="I54" s="192" t="s">
        <v>265</v>
      </c>
      <c r="J54" s="192"/>
      <c r="K54" s="193" t="s">
        <v>66</v>
      </c>
      <c r="L54" s="193" t="s">
        <v>42</v>
      </c>
      <c r="M54" s="199"/>
      <c r="N54" s="199"/>
      <c r="O54" s="199"/>
      <c r="P54" s="164"/>
      <c r="Q54" s="164"/>
      <c r="R54" s="164"/>
      <c r="S54" s="164"/>
      <c r="T54" s="164"/>
      <c r="U54" s="164"/>
      <c r="V54" s="164"/>
      <c r="W54" s="164"/>
      <c r="X54" s="164"/>
      <c r="Y54" s="170"/>
      <c r="Z54" s="170"/>
      <c r="AA54" s="170"/>
    </row>
    <row r="55">
      <c r="A55" s="164"/>
      <c r="B55" s="186">
        <f t="shared" si="1"/>
        <v>51</v>
      </c>
      <c r="C55" s="195"/>
      <c r="D55" s="195"/>
      <c r="E55" s="195"/>
      <c r="F55" s="189" t="s">
        <v>190</v>
      </c>
      <c r="G55" s="206" t="s">
        <v>188</v>
      </c>
      <c r="H55" s="191" t="s">
        <v>267</v>
      </c>
      <c r="I55" s="192" t="s">
        <v>253</v>
      </c>
      <c r="J55" s="192" t="s">
        <v>299</v>
      </c>
      <c r="K55" s="193" t="s">
        <v>66</v>
      </c>
      <c r="L55" s="193" t="s">
        <v>42</v>
      </c>
      <c r="M55" s="199"/>
      <c r="N55" s="192" t="s">
        <v>300</v>
      </c>
      <c r="O55" s="194" t="s">
        <v>249</v>
      </c>
      <c r="P55" s="164"/>
      <c r="Q55" s="164"/>
      <c r="R55" s="164"/>
      <c r="S55" s="164"/>
      <c r="T55" s="164"/>
      <c r="U55" s="164"/>
      <c r="V55" s="164"/>
      <c r="W55" s="164"/>
      <c r="X55" s="164"/>
      <c r="Y55" s="170"/>
      <c r="Z55" s="170"/>
      <c r="AA55" s="170"/>
    </row>
    <row r="56">
      <c r="A56" s="164"/>
      <c r="B56" s="186">
        <f t="shared" si="1"/>
        <v>52</v>
      </c>
      <c r="C56" s="210" t="s">
        <v>164</v>
      </c>
      <c r="D56" s="211" t="s">
        <v>165</v>
      </c>
      <c r="E56" s="206" t="s">
        <v>177</v>
      </c>
      <c r="F56" s="206"/>
      <c r="G56" s="190" t="s">
        <v>243</v>
      </c>
      <c r="H56" s="191" t="s">
        <v>244</v>
      </c>
      <c r="I56" s="192" t="s">
        <v>301</v>
      </c>
      <c r="J56" s="199"/>
      <c r="K56" s="193" t="s">
        <v>66</v>
      </c>
      <c r="L56" s="193" t="s">
        <v>42</v>
      </c>
      <c r="M56" s="199"/>
      <c r="N56" s="192" t="s">
        <v>302</v>
      </c>
      <c r="O56" s="199"/>
      <c r="P56" s="164"/>
      <c r="Q56" s="164"/>
      <c r="R56" s="164"/>
      <c r="S56" s="164"/>
      <c r="T56" s="164"/>
      <c r="U56" s="164"/>
      <c r="V56" s="164"/>
      <c r="W56" s="164"/>
      <c r="X56" s="164"/>
      <c r="Y56" s="170"/>
      <c r="Z56" s="170"/>
      <c r="AA56" s="170"/>
    </row>
    <row r="57">
      <c r="A57" s="212"/>
      <c r="B57" s="212"/>
      <c r="C57" s="213"/>
      <c r="D57" s="213"/>
      <c r="E57" s="213"/>
      <c r="F57" s="213"/>
      <c r="G57" s="213"/>
      <c r="H57" s="214"/>
      <c r="I57" s="213"/>
      <c r="J57" s="213"/>
      <c r="K57" s="213"/>
      <c r="L57" s="213"/>
      <c r="M57" s="213"/>
      <c r="N57" s="213"/>
      <c r="O57" s="213"/>
      <c r="P57" s="212"/>
      <c r="Q57" s="212"/>
      <c r="R57" s="212"/>
      <c r="S57" s="212"/>
      <c r="T57" s="212"/>
      <c r="U57" s="212"/>
      <c r="V57" s="212"/>
      <c r="W57" s="212"/>
      <c r="X57" s="212"/>
      <c r="Y57" s="212"/>
      <c r="Z57" s="212"/>
      <c r="AA57" s="212"/>
    </row>
    <row r="58">
      <c r="A58" s="212"/>
      <c r="B58" s="212"/>
      <c r="C58" s="213"/>
      <c r="D58" s="213"/>
      <c r="E58" s="213"/>
      <c r="F58" s="213"/>
      <c r="G58" s="213"/>
      <c r="H58" s="214"/>
      <c r="I58" s="213"/>
      <c r="J58" s="213"/>
      <c r="K58" s="213"/>
      <c r="L58" s="213"/>
      <c r="M58" s="213"/>
      <c r="N58" s="213"/>
      <c r="O58" s="213"/>
      <c r="P58" s="212"/>
      <c r="Q58" s="212"/>
      <c r="R58" s="212"/>
      <c r="S58" s="212"/>
      <c r="T58" s="212"/>
      <c r="U58" s="212"/>
      <c r="V58" s="212"/>
      <c r="W58" s="212"/>
      <c r="X58" s="212"/>
      <c r="Y58" s="212"/>
      <c r="Z58" s="212"/>
      <c r="AA58" s="212"/>
      <c r="AB58" s="212"/>
    </row>
    <row r="59">
      <c r="A59" s="164"/>
      <c r="B59" s="164"/>
      <c r="C59" s="165"/>
      <c r="D59" s="165"/>
      <c r="E59" s="165"/>
      <c r="F59" s="165"/>
      <c r="G59" s="165"/>
      <c r="H59" s="166"/>
      <c r="I59" s="165"/>
      <c r="J59" s="165"/>
      <c r="K59" s="165"/>
      <c r="L59" s="165"/>
      <c r="M59" s="165"/>
      <c r="N59" s="165"/>
      <c r="O59" s="165"/>
      <c r="P59" s="164"/>
      <c r="Q59" s="164"/>
      <c r="R59" s="164"/>
      <c r="S59" s="164"/>
      <c r="T59" s="164"/>
      <c r="U59" s="164"/>
      <c r="V59" s="164"/>
      <c r="W59" s="164"/>
      <c r="X59" s="164"/>
      <c r="Y59" s="164"/>
      <c r="Z59" s="170"/>
      <c r="AA59" s="170"/>
      <c r="AB59" s="170"/>
    </row>
    <row r="60">
      <c r="A60" s="164"/>
      <c r="B60" s="164"/>
      <c r="C60" s="165"/>
      <c r="D60" s="165"/>
      <c r="E60" s="165"/>
      <c r="F60" s="165"/>
      <c r="G60" s="165"/>
      <c r="H60" s="166"/>
      <c r="I60" s="165"/>
      <c r="J60" s="165"/>
      <c r="K60" s="165"/>
      <c r="L60" s="165"/>
      <c r="M60" s="165"/>
      <c r="N60" s="165"/>
      <c r="O60" s="165"/>
      <c r="P60" s="164"/>
      <c r="Q60" s="164"/>
      <c r="R60" s="164"/>
      <c r="S60" s="164"/>
      <c r="T60" s="164"/>
      <c r="U60" s="164"/>
      <c r="V60" s="164"/>
      <c r="W60" s="164"/>
      <c r="X60" s="164"/>
      <c r="Y60" s="164"/>
      <c r="Z60" s="170"/>
      <c r="AA60" s="170"/>
      <c r="AB60" s="170"/>
    </row>
    <row r="61">
      <c r="A61" s="164"/>
      <c r="B61" s="164"/>
      <c r="C61" s="165"/>
      <c r="D61" s="165"/>
      <c r="E61" s="165"/>
      <c r="F61" s="165"/>
      <c r="G61" s="165"/>
      <c r="H61" s="166"/>
      <c r="I61" s="165"/>
      <c r="J61" s="165"/>
      <c r="K61" s="165"/>
      <c r="L61" s="165"/>
      <c r="M61" s="165"/>
      <c r="N61" s="165"/>
      <c r="O61" s="165"/>
      <c r="P61" s="164"/>
      <c r="Q61" s="164"/>
      <c r="R61" s="164"/>
      <c r="S61" s="164"/>
      <c r="T61" s="164"/>
      <c r="U61" s="164"/>
      <c r="V61" s="164"/>
      <c r="W61" s="164"/>
      <c r="X61" s="164"/>
      <c r="Y61" s="164"/>
      <c r="Z61" s="170"/>
      <c r="AA61" s="170"/>
      <c r="AB61" s="170"/>
    </row>
    <row r="62">
      <c r="A62" s="164"/>
      <c r="B62" s="164"/>
      <c r="C62" s="165"/>
      <c r="D62" s="165"/>
      <c r="E62" s="165"/>
      <c r="F62" s="165"/>
      <c r="G62" s="165"/>
      <c r="H62" s="166"/>
      <c r="I62" s="165"/>
      <c r="J62" s="165"/>
      <c r="K62" s="165"/>
      <c r="L62" s="165"/>
      <c r="M62" s="165"/>
      <c r="N62" s="165"/>
      <c r="O62" s="165"/>
      <c r="P62" s="164"/>
      <c r="Q62" s="164"/>
      <c r="R62" s="164"/>
      <c r="S62" s="164"/>
      <c r="T62" s="164"/>
      <c r="U62" s="164"/>
      <c r="V62" s="164"/>
      <c r="W62" s="164"/>
      <c r="X62" s="164"/>
      <c r="Y62" s="164"/>
      <c r="Z62" s="170"/>
      <c r="AA62" s="170"/>
      <c r="AB62" s="170"/>
    </row>
    <row r="63">
      <c r="A63" s="164"/>
      <c r="B63" s="164"/>
      <c r="C63" s="165"/>
      <c r="D63" s="165"/>
      <c r="E63" s="165"/>
      <c r="F63" s="165"/>
      <c r="G63" s="165"/>
      <c r="H63" s="166"/>
      <c r="I63" s="165"/>
      <c r="J63" s="165"/>
      <c r="K63" s="165"/>
      <c r="L63" s="165"/>
      <c r="M63" s="165"/>
      <c r="N63" s="165"/>
      <c r="O63" s="165"/>
      <c r="P63" s="164"/>
      <c r="Q63" s="164"/>
      <c r="R63" s="164"/>
      <c r="S63" s="164"/>
      <c r="T63" s="164"/>
      <c r="U63" s="164"/>
      <c r="V63" s="164"/>
      <c r="W63" s="164"/>
      <c r="X63" s="164"/>
      <c r="Y63" s="164"/>
      <c r="Z63" s="170"/>
      <c r="AA63" s="170"/>
      <c r="AB63" s="170"/>
    </row>
    <row r="64">
      <c r="A64" s="164"/>
      <c r="B64" s="164"/>
      <c r="C64" s="165"/>
      <c r="D64" s="165"/>
      <c r="E64" s="165"/>
      <c r="F64" s="165"/>
      <c r="G64" s="165"/>
      <c r="H64" s="166"/>
      <c r="I64" s="165"/>
      <c r="J64" s="165"/>
      <c r="K64" s="165"/>
      <c r="L64" s="165"/>
      <c r="M64" s="165"/>
      <c r="N64" s="165"/>
      <c r="O64" s="165"/>
      <c r="P64" s="164"/>
      <c r="Q64" s="164"/>
      <c r="R64" s="164"/>
      <c r="S64" s="164"/>
      <c r="T64" s="164"/>
      <c r="U64" s="164"/>
      <c r="V64" s="164"/>
      <c r="W64" s="164"/>
      <c r="X64" s="164"/>
      <c r="Y64" s="164"/>
      <c r="Z64" s="170"/>
      <c r="AA64" s="170"/>
      <c r="AB64" s="170"/>
    </row>
    <row r="65">
      <c r="A65" s="170"/>
      <c r="B65" s="215"/>
      <c r="C65" s="170"/>
      <c r="D65" s="170"/>
      <c r="E65" s="170"/>
      <c r="F65" s="170"/>
      <c r="G65" s="170"/>
      <c r="H65" s="216"/>
      <c r="I65" s="170"/>
      <c r="J65" s="170"/>
      <c r="K65" s="170"/>
      <c r="L65" s="170"/>
      <c r="M65" s="170"/>
      <c r="N65" s="170"/>
      <c r="O65" s="170"/>
      <c r="P65" s="170"/>
      <c r="Q65" s="170"/>
      <c r="R65" s="170"/>
      <c r="S65" s="170"/>
      <c r="T65" s="170"/>
      <c r="U65" s="170"/>
      <c r="V65" s="170"/>
      <c r="W65" s="170"/>
      <c r="X65" s="170"/>
      <c r="Y65" s="170"/>
      <c r="Z65" s="170"/>
      <c r="AA65" s="170"/>
      <c r="AB65" s="170"/>
    </row>
    <row r="66">
      <c r="A66" s="170"/>
      <c r="B66" s="215"/>
      <c r="C66" s="170"/>
      <c r="D66" s="170"/>
      <c r="E66" s="170"/>
      <c r="F66" s="170"/>
      <c r="G66" s="170"/>
      <c r="H66" s="216"/>
      <c r="I66" s="170"/>
      <c r="J66" s="170"/>
      <c r="K66" s="170"/>
      <c r="L66" s="170"/>
      <c r="M66" s="170"/>
      <c r="N66" s="170"/>
      <c r="O66" s="170"/>
      <c r="P66" s="170"/>
      <c r="Q66" s="170"/>
      <c r="R66" s="170"/>
      <c r="S66" s="170"/>
      <c r="T66" s="170"/>
      <c r="U66" s="170"/>
      <c r="V66" s="170"/>
      <c r="W66" s="170"/>
      <c r="X66" s="170"/>
      <c r="Y66" s="170"/>
      <c r="Z66" s="170"/>
      <c r="AA66" s="170"/>
      <c r="AB66" s="170"/>
    </row>
    <row r="67">
      <c r="A67" s="170"/>
      <c r="B67" s="215"/>
      <c r="C67" s="170"/>
      <c r="D67" s="170"/>
      <c r="E67" s="170"/>
      <c r="F67" s="170"/>
      <c r="G67" s="170"/>
      <c r="H67" s="216"/>
      <c r="I67" s="170"/>
      <c r="J67" s="170"/>
      <c r="K67" s="170"/>
      <c r="L67" s="170"/>
      <c r="M67" s="170"/>
      <c r="N67" s="170"/>
      <c r="O67" s="170"/>
      <c r="P67" s="170"/>
      <c r="Q67" s="170"/>
      <c r="R67" s="170"/>
      <c r="S67" s="170"/>
      <c r="T67" s="170"/>
      <c r="U67" s="170"/>
      <c r="V67" s="170"/>
      <c r="W67" s="170"/>
      <c r="X67" s="170"/>
      <c r="Y67" s="170"/>
      <c r="Z67" s="170"/>
      <c r="AA67" s="170"/>
      <c r="AB67" s="170"/>
    </row>
    <row r="68">
      <c r="A68" s="170"/>
      <c r="B68" s="215"/>
      <c r="C68" s="170"/>
      <c r="D68" s="170"/>
      <c r="E68" s="170"/>
      <c r="F68" s="170"/>
      <c r="G68" s="170"/>
      <c r="H68" s="216"/>
      <c r="I68" s="170"/>
      <c r="J68" s="170"/>
      <c r="K68" s="170"/>
      <c r="L68" s="170"/>
      <c r="M68" s="170"/>
      <c r="N68" s="170"/>
      <c r="O68" s="170"/>
      <c r="P68" s="170"/>
      <c r="Q68" s="170"/>
      <c r="R68" s="170"/>
      <c r="S68" s="170"/>
      <c r="T68" s="170"/>
      <c r="U68" s="170"/>
      <c r="V68" s="170"/>
      <c r="W68" s="170"/>
      <c r="X68" s="170"/>
      <c r="Y68" s="170"/>
      <c r="Z68" s="170"/>
      <c r="AA68" s="170"/>
      <c r="AB68" s="170"/>
    </row>
    <row r="69">
      <c r="A69" s="170"/>
      <c r="B69" s="215"/>
      <c r="C69" s="170"/>
      <c r="D69" s="170"/>
      <c r="E69" s="170"/>
      <c r="F69" s="170"/>
      <c r="G69" s="170"/>
      <c r="H69" s="216"/>
      <c r="I69" s="170"/>
      <c r="J69" s="170"/>
      <c r="K69" s="170"/>
      <c r="L69" s="170"/>
      <c r="M69" s="170"/>
      <c r="N69" s="170"/>
      <c r="O69" s="170"/>
      <c r="P69" s="170"/>
      <c r="Q69" s="170"/>
      <c r="R69" s="170"/>
      <c r="S69" s="170"/>
      <c r="T69" s="170"/>
      <c r="U69" s="170"/>
      <c r="V69" s="170"/>
      <c r="W69" s="170"/>
      <c r="X69" s="170"/>
      <c r="Y69" s="170"/>
      <c r="Z69" s="170"/>
      <c r="AA69" s="170"/>
      <c r="AB69" s="170"/>
    </row>
    <row r="70">
      <c r="A70" s="170"/>
      <c r="B70" s="215"/>
      <c r="C70" s="170"/>
      <c r="D70" s="170"/>
      <c r="E70" s="170"/>
      <c r="F70" s="170"/>
      <c r="G70" s="170"/>
      <c r="H70" s="216"/>
      <c r="I70" s="170"/>
      <c r="J70" s="170"/>
      <c r="K70" s="170"/>
      <c r="L70" s="170"/>
      <c r="M70" s="170"/>
      <c r="N70" s="170"/>
      <c r="O70" s="170"/>
      <c r="P70" s="170"/>
      <c r="Q70" s="170"/>
      <c r="R70" s="170"/>
      <c r="S70" s="170"/>
      <c r="T70" s="170"/>
      <c r="U70" s="170"/>
      <c r="V70" s="170"/>
      <c r="W70" s="170"/>
      <c r="X70" s="170"/>
      <c r="Y70" s="170"/>
      <c r="Z70" s="170"/>
      <c r="AA70" s="170"/>
      <c r="AB70" s="170"/>
    </row>
    <row r="71">
      <c r="A71" s="170"/>
      <c r="B71" s="215"/>
      <c r="C71" s="170"/>
      <c r="D71" s="170"/>
      <c r="E71" s="170"/>
      <c r="F71" s="170"/>
      <c r="G71" s="170"/>
      <c r="H71" s="216"/>
      <c r="I71" s="170"/>
      <c r="J71" s="170"/>
      <c r="K71" s="170"/>
      <c r="L71" s="170"/>
      <c r="M71" s="170"/>
      <c r="N71" s="170"/>
      <c r="O71" s="170"/>
      <c r="P71" s="170"/>
      <c r="Q71" s="170"/>
      <c r="R71" s="170"/>
      <c r="S71" s="170"/>
      <c r="T71" s="170"/>
      <c r="U71" s="170"/>
      <c r="V71" s="170"/>
      <c r="W71" s="170"/>
      <c r="X71" s="170"/>
      <c r="Y71" s="170"/>
      <c r="Z71" s="170"/>
      <c r="AA71" s="170"/>
      <c r="AB71" s="170"/>
    </row>
    <row r="72">
      <c r="A72" s="170"/>
      <c r="B72" s="215"/>
      <c r="C72" s="170"/>
      <c r="D72" s="170"/>
      <c r="E72" s="170"/>
      <c r="F72" s="170"/>
      <c r="G72" s="170"/>
      <c r="H72" s="216"/>
      <c r="I72" s="170"/>
      <c r="J72" s="170"/>
      <c r="K72" s="170"/>
      <c r="L72" s="170"/>
      <c r="M72" s="170"/>
      <c r="N72" s="170"/>
      <c r="O72" s="170"/>
      <c r="P72" s="170"/>
      <c r="Q72" s="170"/>
      <c r="R72" s="170"/>
      <c r="S72" s="170"/>
      <c r="T72" s="170"/>
      <c r="U72" s="170"/>
      <c r="V72" s="170"/>
      <c r="W72" s="170"/>
      <c r="X72" s="170"/>
      <c r="Y72" s="170"/>
      <c r="Z72" s="170"/>
      <c r="AA72" s="170"/>
      <c r="AB72" s="170"/>
    </row>
    <row r="73">
      <c r="A73" s="170"/>
      <c r="B73" s="215"/>
      <c r="C73" s="170"/>
      <c r="D73" s="170"/>
      <c r="E73" s="170"/>
      <c r="F73" s="170"/>
      <c r="G73" s="170"/>
      <c r="H73" s="216"/>
      <c r="I73" s="170"/>
      <c r="J73" s="170"/>
      <c r="K73" s="170"/>
      <c r="L73" s="170"/>
      <c r="M73" s="170"/>
      <c r="N73" s="170"/>
      <c r="O73" s="170"/>
      <c r="P73" s="170"/>
      <c r="Q73" s="170"/>
      <c r="R73" s="170"/>
      <c r="S73" s="170"/>
      <c r="T73" s="170"/>
      <c r="U73" s="170"/>
      <c r="V73" s="170"/>
      <c r="W73" s="170"/>
      <c r="X73" s="170"/>
      <c r="Y73" s="170"/>
      <c r="Z73" s="170"/>
      <c r="AA73" s="170"/>
      <c r="AB73" s="170"/>
    </row>
    <row r="74">
      <c r="A74" s="170"/>
      <c r="B74" s="215"/>
      <c r="C74" s="170"/>
      <c r="D74" s="170"/>
      <c r="E74" s="170"/>
      <c r="F74" s="170"/>
      <c r="G74" s="170"/>
      <c r="H74" s="216"/>
      <c r="I74" s="170"/>
      <c r="J74" s="170"/>
      <c r="K74" s="170"/>
      <c r="L74" s="170"/>
      <c r="M74" s="170"/>
      <c r="N74" s="170"/>
      <c r="O74" s="170"/>
      <c r="P74" s="170"/>
      <c r="Q74" s="170"/>
      <c r="R74" s="170"/>
      <c r="S74" s="170"/>
      <c r="T74" s="170"/>
      <c r="U74" s="170"/>
      <c r="V74" s="170"/>
      <c r="W74" s="170"/>
      <c r="X74" s="170"/>
      <c r="Y74" s="170"/>
      <c r="Z74" s="170"/>
      <c r="AA74" s="170"/>
      <c r="AB74" s="170"/>
    </row>
    <row r="75">
      <c r="A75" s="170"/>
      <c r="B75" s="215"/>
      <c r="C75" s="170"/>
      <c r="D75" s="170"/>
      <c r="E75" s="170"/>
      <c r="F75" s="170"/>
      <c r="G75" s="170"/>
      <c r="H75" s="216"/>
      <c r="I75" s="170"/>
      <c r="J75" s="170"/>
      <c r="K75" s="170"/>
      <c r="L75" s="170"/>
      <c r="M75" s="170"/>
      <c r="N75" s="170"/>
      <c r="O75" s="170"/>
      <c r="P75" s="170"/>
      <c r="Q75" s="170"/>
      <c r="R75" s="170"/>
      <c r="S75" s="170"/>
      <c r="T75" s="170"/>
      <c r="U75" s="170"/>
      <c r="V75" s="170"/>
      <c r="W75" s="170"/>
      <c r="X75" s="170"/>
      <c r="Y75" s="170"/>
      <c r="Z75" s="170"/>
      <c r="AA75" s="170"/>
      <c r="AB75" s="170"/>
    </row>
    <row r="76">
      <c r="A76" s="170"/>
      <c r="B76" s="215"/>
      <c r="C76" s="170"/>
      <c r="D76" s="170"/>
      <c r="E76" s="170"/>
      <c r="F76" s="170"/>
      <c r="G76" s="170"/>
      <c r="H76" s="216"/>
      <c r="I76" s="170"/>
      <c r="J76" s="170"/>
      <c r="K76" s="170"/>
      <c r="L76" s="170"/>
      <c r="M76" s="170"/>
      <c r="N76" s="170"/>
      <c r="O76" s="170"/>
      <c r="P76" s="170"/>
      <c r="Q76" s="170"/>
      <c r="R76" s="170"/>
      <c r="S76" s="170"/>
      <c r="T76" s="170"/>
      <c r="U76" s="170"/>
      <c r="V76" s="170"/>
      <c r="W76" s="170"/>
      <c r="X76" s="170"/>
      <c r="Y76" s="170"/>
      <c r="Z76" s="170"/>
      <c r="AA76" s="170"/>
      <c r="AB76" s="170"/>
    </row>
  </sheetData>
  <dataValidations>
    <dataValidation type="list" allowBlank="1" sqref="K5:L56">
      <formula1>"未,OK,NG,Block,保,外,-,Autify実行,別チケットで対応"</formula1>
    </dataValidation>
  </dataValidations>
  <hyperlinks>
    <hyperlink r:id="rId4" ref="O5"/>
    <hyperlink r:id="rId5" ref="O9"/>
    <hyperlink r:id="rId6" ref="O15"/>
    <hyperlink r:id="rId7" ref="O27"/>
    <hyperlink r:id="rId8" ref="O28"/>
    <hyperlink r:id="rId9" ref="O32"/>
    <hyperlink r:id="rId10" ref="O39"/>
    <hyperlink r:id="rId11" ref="O45"/>
    <hyperlink r:id="rId12" ref="O55"/>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3"/>
  <legacy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0.75"/>
    <col customWidth="1" min="2" max="2" width="7.63"/>
    <col customWidth="1" min="3" max="3" width="26.0"/>
    <col customWidth="1" min="4" max="4" width="17.13"/>
    <col customWidth="1" min="5" max="5" width="29.63"/>
    <col customWidth="1" min="6" max="6" width="26.0"/>
    <col customWidth="1" min="7" max="7" width="21.5"/>
    <col customWidth="1" min="8" max="8" width="47.38"/>
    <col customWidth="1" min="9" max="9" width="26.0"/>
    <col customWidth="1" min="10" max="10" width="14.88"/>
    <col customWidth="1" min="11" max="11" width="6.38"/>
    <col customWidth="1" min="12" max="16" width="11.13"/>
    <col customWidth="1" min="17" max="17" width="21.5"/>
    <col customWidth="1" min="18" max="19" width="10.88"/>
    <col customWidth="1" min="20" max="22" width="14.0"/>
    <col customWidth="1" min="23" max="31" width="7.5"/>
  </cols>
  <sheetData>
    <row r="1">
      <c r="A1" s="164"/>
      <c r="B1" s="164"/>
      <c r="C1" s="165"/>
      <c r="D1" s="165"/>
      <c r="E1" s="165"/>
      <c r="F1" s="165"/>
      <c r="G1" s="165"/>
      <c r="H1" s="166"/>
      <c r="I1" s="165"/>
      <c r="J1" s="165"/>
      <c r="K1" s="165"/>
      <c r="L1" s="167"/>
      <c r="M1" s="167"/>
      <c r="N1" s="217"/>
      <c r="O1" s="168"/>
      <c r="P1" s="169"/>
      <c r="Q1" s="169"/>
      <c r="R1" s="169"/>
      <c r="S1" s="164"/>
      <c r="T1" s="164"/>
      <c r="U1" s="164"/>
      <c r="V1" s="164"/>
      <c r="W1" s="164"/>
      <c r="X1" s="164"/>
      <c r="Y1" s="164"/>
      <c r="Z1" s="164"/>
      <c r="AA1" s="164"/>
      <c r="AB1" s="170"/>
      <c r="AC1" s="170"/>
      <c r="AD1" s="170"/>
    </row>
    <row r="2">
      <c r="A2" s="164"/>
      <c r="B2" s="164"/>
      <c r="C2" s="165"/>
      <c r="D2" s="165"/>
      <c r="E2" s="165"/>
      <c r="F2" s="165"/>
      <c r="G2" s="165"/>
      <c r="H2" s="166"/>
      <c r="I2" s="165"/>
      <c r="J2" s="165"/>
      <c r="K2" s="165"/>
      <c r="L2" s="167"/>
      <c r="M2" s="167"/>
      <c r="N2" s="217"/>
      <c r="O2" s="168"/>
      <c r="P2" s="169"/>
      <c r="Q2" s="169"/>
      <c r="R2" s="169"/>
      <c r="S2" s="164"/>
      <c r="T2" s="164"/>
      <c r="U2" s="164"/>
      <c r="V2" s="164"/>
      <c r="W2" s="164"/>
      <c r="X2" s="164"/>
      <c r="Y2" s="164"/>
      <c r="Z2" s="164"/>
      <c r="AA2" s="164"/>
      <c r="AB2" s="170"/>
      <c r="AC2" s="170"/>
      <c r="AD2" s="170"/>
    </row>
    <row r="3">
      <c r="A3" s="164"/>
      <c r="B3" s="171" t="s">
        <v>303</v>
      </c>
      <c r="C3" s="172"/>
      <c r="D3" s="172"/>
      <c r="E3" s="172"/>
      <c r="F3" s="172"/>
      <c r="G3" s="173"/>
      <c r="H3" s="166"/>
      <c r="I3" s="165"/>
      <c r="J3" s="165"/>
      <c r="K3" s="165"/>
      <c r="L3" s="174" t="s">
        <v>233</v>
      </c>
      <c r="M3" s="218" t="s">
        <v>304</v>
      </c>
      <c r="N3" s="219" t="s">
        <v>305</v>
      </c>
      <c r="O3" s="175" t="s">
        <v>234</v>
      </c>
      <c r="P3" s="169"/>
      <c r="Q3" s="169"/>
      <c r="R3" s="169"/>
      <c r="S3" s="164"/>
      <c r="T3" s="164"/>
      <c r="U3" s="164"/>
      <c r="V3" s="164"/>
      <c r="W3" s="164"/>
      <c r="X3" s="164"/>
      <c r="Y3" s="164"/>
      <c r="Z3" s="164"/>
      <c r="AA3" s="164"/>
      <c r="AB3" s="170"/>
      <c r="AC3" s="170"/>
      <c r="AD3" s="170"/>
    </row>
    <row r="4">
      <c r="A4" s="164"/>
      <c r="B4" s="176" t="s">
        <v>235</v>
      </c>
      <c r="C4" s="177" t="s">
        <v>159</v>
      </c>
      <c r="D4" s="177" t="s">
        <v>160</v>
      </c>
      <c r="E4" s="177" t="s">
        <v>161</v>
      </c>
      <c r="F4" s="177" t="s">
        <v>162</v>
      </c>
      <c r="G4" s="178" t="s">
        <v>163</v>
      </c>
      <c r="H4" s="179" t="s">
        <v>236</v>
      </c>
      <c r="I4" s="180" t="s">
        <v>237</v>
      </c>
      <c r="J4" s="181" t="s">
        <v>238</v>
      </c>
      <c r="K4" s="220" t="s">
        <v>306</v>
      </c>
      <c r="L4" s="182" t="s">
        <v>239</v>
      </c>
      <c r="M4" s="182" t="s">
        <v>239</v>
      </c>
      <c r="N4" s="182" t="s">
        <v>239</v>
      </c>
      <c r="O4" s="182" t="s">
        <v>239</v>
      </c>
      <c r="P4" s="183" t="s">
        <v>3</v>
      </c>
      <c r="Q4" s="184" t="s">
        <v>240</v>
      </c>
      <c r="R4" s="185" t="s">
        <v>241</v>
      </c>
      <c r="S4" s="164"/>
      <c r="T4" s="164"/>
      <c r="U4" s="164"/>
      <c r="V4" s="164"/>
      <c r="W4" s="164"/>
      <c r="X4" s="164"/>
      <c r="Y4" s="164"/>
      <c r="Z4" s="164"/>
      <c r="AA4" s="164"/>
      <c r="AB4" s="170"/>
      <c r="AC4" s="170"/>
      <c r="AD4" s="170"/>
    </row>
    <row r="5">
      <c r="A5" s="164"/>
      <c r="B5" s="186">
        <f t="shared" ref="B5:B109" si="1">ROW()-ROW($B$4)</f>
        <v>1</v>
      </c>
      <c r="C5" s="187" t="s">
        <v>164</v>
      </c>
      <c r="D5" s="187" t="s">
        <v>165</v>
      </c>
      <c r="E5" s="188" t="s">
        <v>307</v>
      </c>
      <c r="F5" s="189" t="s">
        <v>167</v>
      </c>
      <c r="G5" s="190" t="s">
        <v>204</v>
      </c>
      <c r="H5" s="191" t="s">
        <v>308</v>
      </c>
      <c r="I5" s="192" t="s">
        <v>309</v>
      </c>
      <c r="J5" s="192" t="s">
        <v>310</v>
      </c>
      <c r="K5" s="192"/>
      <c r="L5" s="193" t="s">
        <v>66</v>
      </c>
      <c r="M5" s="193" t="s">
        <v>64</v>
      </c>
      <c r="N5" s="193" t="s">
        <v>64</v>
      </c>
      <c r="O5" s="193" t="s">
        <v>64</v>
      </c>
      <c r="P5" s="192"/>
      <c r="Q5" s="192"/>
      <c r="R5" s="192"/>
      <c r="S5" s="164"/>
      <c r="T5" s="164"/>
      <c r="U5" s="164"/>
      <c r="V5" s="164"/>
      <c r="W5" s="164"/>
      <c r="X5" s="164"/>
      <c r="Y5" s="164"/>
      <c r="Z5" s="164"/>
      <c r="AA5" s="164"/>
      <c r="AB5" s="170"/>
      <c r="AC5" s="170"/>
      <c r="AD5" s="170"/>
    </row>
    <row r="6">
      <c r="A6" s="164"/>
      <c r="B6" s="186">
        <f t="shared" si="1"/>
        <v>2</v>
      </c>
      <c r="C6" s="195"/>
      <c r="D6" s="195"/>
      <c r="E6" s="196"/>
      <c r="F6" s="197"/>
      <c r="G6" s="190" t="s">
        <v>206</v>
      </c>
      <c r="H6" s="191" t="s">
        <v>250</v>
      </c>
      <c r="I6" s="192" t="s">
        <v>250</v>
      </c>
      <c r="J6" s="199"/>
      <c r="K6" s="192"/>
      <c r="L6" s="193" t="s">
        <v>66</v>
      </c>
      <c r="M6" s="193" t="s">
        <v>64</v>
      </c>
      <c r="N6" s="193" t="s">
        <v>64</v>
      </c>
      <c r="O6" s="193" t="s">
        <v>64</v>
      </c>
      <c r="P6" s="199"/>
      <c r="Q6" s="199"/>
      <c r="R6" s="192"/>
      <c r="S6" s="164"/>
      <c r="T6" s="164"/>
      <c r="U6" s="164"/>
      <c r="V6" s="164"/>
      <c r="W6" s="164"/>
      <c r="X6" s="164"/>
      <c r="Y6" s="164"/>
      <c r="Z6" s="164"/>
      <c r="AA6" s="164"/>
      <c r="AB6" s="170"/>
      <c r="AC6" s="170"/>
      <c r="AD6" s="170"/>
    </row>
    <row r="7">
      <c r="A7" s="164"/>
      <c r="B7" s="186">
        <f t="shared" si="1"/>
        <v>3</v>
      </c>
      <c r="C7" s="195"/>
      <c r="D7" s="195"/>
      <c r="E7" s="196"/>
      <c r="F7" s="197"/>
      <c r="G7" s="190" t="s">
        <v>208</v>
      </c>
      <c r="H7" s="191" t="s">
        <v>250</v>
      </c>
      <c r="I7" s="192" t="s">
        <v>250</v>
      </c>
      <c r="J7" s="199"/>
      <c r="K7" s="192"/>
      <c r="L7" s="193" t="s">
        <v>66</v>
      </c>
      <c r="M7" s="193" t="s">
        <v>64</v>
      </c>
      <c r="N7" s="193" t="s">
        <v>64</v>
      </c>
      <c r="O7" s="193" t="s">
        <v>64</v>
      </c>
      <c r="P7" s="199"/>
      <c r="Q7" s="199"/>
      <c r="R7" s="192"/>
      <c r="S7" s="164"/>
      <c r="T7" s="164"/>
      <c r="U7" s="164"/>
      <c r="V7" s="164"/>
      <c r="W7" s="164"/>
      <c r="X7" s="164"/>
      <c r="Y7" s="164"/>
      <c r="Z7" s="164"/>
      <c r="AA7" s="164"/>
      <c r="AB7" s="170"/>
      <c r="AC7" s="170"/>
      <c r="AD7" s="170"/>
    </row>
    <row r="8">
      <c r="A8" s="164"/>
      <c r="B8" s="186">
        <f t="shared" si="1"/>
        <v>4</v>
      </c>
      <c r="C8" s="195"/>
      <c r="D8" s="195"/>
      <c r="E8" s="196"/>
      <c r="F8" s="197"/>
      <c r="G8" s="190" t="s">
        <v>210</v>
      </c>
      <c r="H8" s="191" t="s">
        <v>250</v>
      </c>
      <c r="I8" s="192" t="s">
        <v>250</v>
      </c>
      <c r="J8" s="199"/>
      <c r="K8" s="192"/>
      <c r="L8" s="193" t="s">
        <v>66</v>
      </c>
      <c r="M8" s="193" t="s">
        <v>64</v>
      </c>
      <c r="N8" s="193" t="s">
        <v>64</v>
      </c>
      <c r="O8" s="193" t="s">
        <v>64</v>
      </c>
      <c r="P8" s="199"/>
      <c r="Q8" s="199"/>
      <c r="R8" s="192"/>
      <c r="S8" s="164"/>
      <c r="T8" s="164"/>
      <c r="U8" s="164"/>
      <c r="V8" s="164"/>
      <c r="W8" s="164"/>
      <c r="X8" s="164"/>
      <c r="Y8" s="164"/>
      <c r="Z8" s="164"/>
      <c r="AA8" s="164"/>
      <c r="AB8" s="170"/>
      <c r="AC8" s="170"/>
      <c r="AD8" s="170"/>
    </row>
    <row r="9">
      <c r="A9" s="164"/>
      <c r="B9" s="186">
        <f t="shared" si="1"/>
        <v>5</v>
      </c>
      <c r="C9" s="195"/>
      <c r="D9" s="195"/>
      <c r="E9" s="196"/>
      <c r="F9" s="197"/>
      <c r="G9" s="190" t="s">
        <v>212</v>
      </c>
      <c r="H9" s="191" t="s">
        <v>250</v>
      </c>
      <c r="I9" s="192" t="s">
        <v>250</v>
      </c>
      <c r="J9" s="199"/>
      <c r="K9" s="192"/>
      <c r="L9" s="193" t="s">
        <v>66</v>
      </c>
      <c r="M9" s="193" t="s">
        <v>64</v>
      </c>
      <c r="N9" s="193" t="s">
        <v>64</v>
      </c>
      <c r="O9" s="193" t="s">
        <v>64</v>
      </c>
      <c r="P9" s="199"/>
      <c r="Q9" s="199"/>
      <c r="R9" s="192"/>
      <c r="S9" s="164"/>
      <c r="T9" s="164"/>
      <c r="U9" s="164"/>
      <c r="V9" s="164"/>
      <c r="W9" s="164"/>
      <c r="X9" s="164"/>
      <c r="Y9" s="164"/>
      <c r="Z9" s="164"/>
      <c r="AA9" s="164"/>
      <c r="AB9" s="170"/>
      <c r="AC9" s="170"/>
      <c r="AD9" s="170"/>
    </row>
    <row r="10">
      <c r="A10" s="164"/>
      <c r="B10" s="186">
        <f t="shared" si="1"/>
        <v>6</v>
      </c>
      <c r="C10" s="195"/>
      <c r="D10" s="195"/>
      <c r="E10" s="196"/>
      <c r="F10" s="197"/>
      <c r="G10" s="190" t="s">
        <v>214</v>
      </c>
      <c r="H10" s="191" t="s">
        <v>250</v>
      </c>
      <c r="I10" s="192" t="s">
        <v>250</v>
      </c>
      <c r="J10" s="199"/>
      <c r="K10" s="192"/>
      <c r="L10" s="193" t="s">
        <v>66</v>
      </c>
      <c r="M10" s="193" t="s">
        <v>64</v>
      </c>
      <c r="N10" s="193" t="s">
        <v>64</v>
      </c>
      <c r="O10" s="193" t="s">
        <v>64</v>
      </c>
      <c r="P10" s="199"/>
      <c r="Q10" s="199"/>
      <c r="R10" s="192"/>
      <c r="S10" s="164"/>
      <c r="T10" s="164"/>
      <c r="U10" s="164"/>
      <c r="V10" s="164"/>
      <c r="W10" s="164"/>
      <c r="X10" s="164"/>
      <c r="Y10" s="164"/>
      <c r="Z10" s="164"/>
      <c r="AA10" s="164"/>
      <c r="AB10" s="170"/>
      <c r="AC10" s="170"/>
      <c r="AD10" s="170"/>
    </row>
    <row r="11">
      <c r="A11" s="164"/>
      <c r="B11" s="186">
        <f t="shared" si="1"/>
        <v>7</v>
      </c>
      <c r="C11" s="195"/>
      <c r="D11" s="195"/>
      <c r="E11" s="196"/>
      <c r="F11" s="197"/>
      <c r="G11" s="190" t="s">
        <v>311</v>
      </c>
      <c r="H11" s="191" t="s">
        <v>250</v>
      </c>
      <c r="I11" s="192" t="s">
        <v>250</v>
      </c>
      <c r="J11" s="199"/>
      <c r="K11" s="192"/>
      <c r="L11" s="193" t="s">
        <v>66</v>
      </c>
      <c r="M11" s="193" t="s">
        <v>64</v>
      </c>
      <c r="N11" s="193" t="s">
        <v>64</v>
      </c>
      <c r="O11" s="193" t="s">
        <v>64</v>
      </c>
      <c r="P11" s="199"/>
      <c r="Q11" s="199"/>
      <c r="R11" s="192"/>
      <c r="S11" s="164"/>
      <c r="T11" s="164"/>
      <c r="U11" s="164"/>
      <c r="V11" s="164"/>
      <c r="W11" s="164"/>
      <c r="X11" s="164"/>
      <c r="Y11" s="164"/>
      <c r="Z11" s="164"/>
      <c r="AA11" s="164"/>
      <c r="AB11" s="170"/>
      <c r="AC11" s="170"/>
      <c r="AD11" s="170"/>
    </row>
    <row r="12">
      <c r="A12" s="164"/>
      <c r="B12" s="186">
        <f t="shared" si="1"/>
        <v>8</v>
      </c>
      <c r="C12" s="195"/>
      <c r="D12" s="195"/>
      <c r="E12" s="196"/>
      <c r="F12" s="197"/>
      <c r="G12" s="190" t="s">
        <v>312</v>
      </c>
      <c r="H12" s="191" t="s">
        <v>250</v>
      </c>
      <c r="I12" s="192" t="s">
        <v>250</v>
      </c>
      <c r="J12" s="199"/>
      <c r="K12" s="192"/>
      <c r="L12" s="193" t="s">
        <v>66</v>
      </c>
      <c r="M12" s="193" t="s">
        <v>64</v>
      </c>
      <c r="N12" s="193" t="s">
        <v>64</v>
      </c>
      <c r="O12" s="193" t="s">
        <v>64</v>
      </c>
      <c r="P12" s="199"/>
      <c r="Q12" s="199"/>
      <c r="R12" s="192"/>
      <c r="S12" s="164"/>
      <c r="T12" s="164"/>
      <c r="U12" s="164"/>
      <c r="V12" s="164"/>
      <c r="W12" s="164"/>
      <c r="X12" s="164"/>
      <c r="Y12" s="164"/>
      <c r="Z12" s="164"/>
      <c r="AA12" s="164"/>
      <c r="AB12" s="170"/>
      <c r="AC12" s="170"/>
      <c r="AD12" s="170"/>
    </row>
    <row r="13">
      <c r="A13" s="164"/>
      <c r="B13" s="186">
        <f t="shared" si="1"/>
        <v>9</v>
      </c>
      <c r="C13" s="195"/>
      <c r="D13" s="195"/>
      <c r="E13" s="196"/>
      <c r="F13" s="197"/>
      <c r="G13" s="190" t="s">
        <v>313</v>
      </c>
      <c r="H13" s="191" t="s">
        <v>250</v>
      </c>
      <c r="I13" s="192" t="s">
        <v>250</v>
      </c>
      <c r="J13" s="199"/>
      <c r="K13" s="192"/>
      <c r="L13" s="193" t="s">
        <v>66</v>
      </c>
      <c r="M13" s="193" t="s">
        <v>64</v>
      </c>
      <c r="N13" s="193" t="s">
        <v>64</v>
      </c>
      <c r="O13" s="193" t="s">
        <v>64</v>
      </c>
      <c r="P13" s="199"/>
      <c r="Q13" s="199"/>
      <c r="R13" s="192"/>
      <c r="S13" s="164"/>
      <c r="T13" s="164"/>
      <c r="U13" s="164"/>
      <c r="V13" s="164"/>
      <c r="W13" s="164"/>
      <c r="X13" s="164"/>
      <c r="Y13" s="164"/>
      <c r="Z13" s="164"/>
      <c r="AA13" s="164"/>
      <c r="AB13" s="170"/>
      <c r="AC13" s="170"/>
      <c r="AD13" s="170"/>
    </row>
    <row r="14">
      <c r="A14" s="164"/>
      <c r="B14" s="186">
        <f t="shared" si="1"/>
        <v>10</v>
      </c>
      <c r="C14" s="195"/>
      <c r="D14" s="195"/>
      <c r="E14" s="196"/>
      <c r="F14" s="197"/>
      <c r="G14" s="198" t="s">
        <v>219</v>
      </c>
      <c r="H14" s="191" t="s">
        <v>250</v>
      </c>
      <c r="I14" s="192" t="s">
        <v>250</v>
      </c>
      <c r="J14" s="199"/>
      <c r="K14" s="192"/>
      <c r="L14" s="193" t="s">
        <v>66</v>
      </c>
      <c r="M14" s="193" t="s">
        <v>64</v>
      </c>
      <c r="N14" s="193" t="s">
        <v>64</v>
      </c>
      <c r="O14" s="193" t="s">
        <v>64</v>
      </c>
      <c r="P14" s="199"/>
      <c r="Q14" s="199"/>
      <c r="R14" s="192"/>
      <c r="S14" s="164"/>
      <c r="T14" s="164"/>
      <c r="U14" s="164"/>
      <c r="V14" s="164"/>
      <c r="W14" s="164"/>
      <c r="X14" s="164"/>
      <c r="Y14" s="164"/>
      <c r="Z14" s="164"/>
      <c r="AA14" s="164"/>
      <c r="AB14" s="170"/>
      <c r="AC14" s="170"/>
      <c r="AD14" s="170"/>
    </row>
    <row r="15">
      <c r="A15" s="164"/>
      <c r="B15" s="186">
        <f t="shared" si="1"/>
        <v>11</v>
      </c>
      <c r="C15" s="195"/>
      <c r="D15" s="195"/>
      <c r="E15" s="196"/>
      <c r="F15" s="197"/>
      <c r="G15" s="198" t="s">
        <v>220</v>
      </c>
      <c r="H15" s="191" t="s">
        <v>250</v>
      </c>
      <c r="I15" s="192" t="s">
        <v>250</v>
      </c>
      <c r="J15" s="199"/>
      <c r="K15" s="192"/>
      <c r="L15" s="193" t="s">
        <v>66</v>
      </c>
      <c r="M15" s="193" t="s">
        <v>64</v>
      </c>
      <c r="N15" s="193" t="s">
        <v>64</v>
      </c>
      <c r="O15" s="193" t="s">
        <v>64</v>
      </c>
      <c r="P15" s="199"/>
      <c r="Q15" s="199"/>
      <c r="R15" s="192"/>
      <c r="S15" s="164"/>
      <c r="T15" s="164"/>
      <c r="U15" s="164"/>
      <c r="V15" s="164"/>
      <c r="W15" s="164"/>
      <c r="X15" s="164"/>
      <c r="Y15" s="164"/>
      <c r="Z15" s="164"/>
      <c r="AA15" s="164"/>
      <c r="AB15" s="170"/>
      <c r="AC15" s="170"/>
      <c r="AD15" s="170"/>
    </row>
    <row r="16">
      <c r="A16" s="164"/>
      <c r="B16" s="186">
        <f t="shared" si="1"/>
        <v>12</v>
      </c>
      <c r="C16" s="195"/>
      <c r="D16" s="195"/>
      <c r="E16" s="196"/>
      <c r="F16" s="197"/>
      <c r="G16" s="198" t="s">
        <v>222</v>
      </c>
      <c r="H16" s="191" t="s">
        <v>250</v>
      </c>
      <c r="I16" s="192" t="s">
        <v>250</v>
      </c>
      <c r="J16" s="199"/>
      <c r="K16" s="192"/>
      <c r="L16" s="193" t="s">
        <v>66</v>
      </c>
      <c r="M16" s="193" t="s">
        <v>64</v>
      </c>
      <c r="N16" s="193" t="s">
        <v>64</v>
      </c>
      <c r="O16" s="193" t="s">
        <v>64</v>
      </c>
      <c r="P16" s="199"/>
      <c r="Q16" s="199"/>
      <c r="R16" s="192"/>
      <c r="S16" s="164"/>
      <c r="T16" s="164"/>
      <c r="U16" s="164"/>
      <c r="V16" s="164"/>
      <c r="W16" s="164"/>
      <c r="X16" s="164"/>
      <c r="Y16" s="164"/>
      <c r="Z16" s="164"/>
      <c r="AA16" s="164"/>
      <c r="AB16" s="170"/>
      <c r="AC16" s="170"/>
      <c r="AD16" s="170"/>
    </row>
    <row r="17">
      <c r="A17" s="164"/>
      <c r="B17" s="186">
        <f t="shared" si="1"/>
        <v>13</v>
      </c>
      <c r="C17" s="195"/>
      <c r="D17" s="195"/>
      <c r="E17" s="196"/>
      <c r="F17" s="197"/>
      <c r="G17" s="198" t="s">
        <v>223</v>
      </c>
      <c r="H17" s="191" t="s">
        <v>250</v>
      </c>
      <c r="I17" s="192" t="s">
        <v>250</v>
      </c>
      <c r="J17" s="199"/>
      <c r="K17" s="192"/>
      <c r="L17" s="193" t="s">
        <v>66</v>
      </c>
      <c r="M17" s="193" t="s">
        <v>64</v>
      </c>
      <c r="N17" s="193" t="s">
        <v>64</v>
      </c>
      <c r="O17" s="193" t="s">
        <v>64</v>
      </c>
      <c r="P17" s="199"/>
      <c r="Q17" s="199"/>
      <c r="R17" s="192"/>
      <c r="S17" s="164"/>
      <c r="T17" s="164"/>
      <c r="U17" s="164"/>
      <c r="V17" s="164"/>
      <c r="W17" s="164"/>
      <c r="X17" s="164"/>
      <c r="Y17" s="164"/>
      <c r="Z17" s="164"/>
      <c r="AA17" s="164"/>
      <c r="AB17" s="170"/>
      <c r="AC17" s="170"/>
      <c r="AD17" s="170"/>
    </row>
    <row r="18">
      <c r="A18" s="164"/>
      <c r="B18" s="186">
        <f t="shared" si="1"/>
        <v>14</v>
      </c>
      <c r="C18" s="195"/>
      <c r="D18" s="195"/>
      <c r="E18" s="196"/>
      <c r="F18" s="197"/>
      <c r="G18" s="198" t="s">
        <v>225</v>
      </c>
      <c r="H18" s="191" t="s">
        <v>250</v>
      </c>
      <c r="I18" s="192" t="s">
        <v>250</v>
      </c>
      <c r="J18" s="199"/>
      <c r="K18" s="192"/>
      <c r="L18" s="193" t="s">
        <v>66</v>
      </c>
      <c r="M18" s="193" t="s">
        <v>64</v>
      </c>
      <c r="N18" s="193" t="s">
        <v>64</v>
      </c>
      <c r="O18" s="193" t="s">
        <v>64</v>
      </c>
      <c r="P18" s="199"/>
      <c r="Q18" s="199"/>
      <c r="R18" s="192"/>
      <c r="S18" s="164"/>
      <c r="T18" s="164"/>
      <c r="U18" s="164"/>
      <c r="V18" s="164"/>
      <c r="W18" s="164"/>
      <c r="X18" s="164"/>
      <c r="Y18" s="164"/>
      <c r="Z18" s="164"/>
      <c r="AA18" s="164"/>
      <c r="AB18" s="170"/>
      <c r="AC18" s="170"/>
      <c r="AD18" s="170"/>
    </row>
    <row r="19">
      <c r="A19" s="164"/>
      <c r="B19" s="186">
        <f t="shared" si="1"/>
        <v>15</v>
      </c>
      <c r="C19" s="195"/>
      <c r="D19" s="195"/>
      <c r="E19" s="196"/>
      <c r="F19" s="202"/>
      <c r="G19" s="198" t="s">
        <v>227</v>
      </c>
      <c r="H19" s="191" t="s">
        <v>250</v>
      </c>
      <c r="I19" s="192" t="s">
        <v>250</v>
      </c>
      <c r="J19" s="199"/>
      <c r="K19" s="192"/>
      <c r="L19" s="193" t="s">
        <v>66</v>
      </c>
      <c r="M19" s="193" t="s">
        <v>64</v>
      </c>
      <c r="N19" s="193" t="s">
        <v>64</v>
      </c>
      <c r="O19" s="193" t="s">
        <v>64</v>
      </c>
      <c r="P19" s="199"/>
      <c r="Q19" s="199"/>
      <c r="R19" s="192"/>
      <c r="S19" s="164"/>
      <c r="T19" s="164"/>
      <c r="U19" s="164"/>
      <c r="V19" s="164"/>
      <c r="W19" s="164"/>
      <c r="X19" s="164"/>
      <c r="Y19" s="164"/>
      <c r="Z19" s="164"/>
      <c r="AA19" s="164"/>
      <c r="AB19" s="170"/>
      <c r="AC19" s="170"/>
      <c r="AD19" s="170"/>
    </row>
    <row r="20">
      <c r="A20" s="164"/>
      <c r="B20" s="186">
        <f t="shared" si="1"/>
        <v>16</v>
      </c>
      <c r="C20" s="221"/>
      <c r="D20" s="200"/>
      <c r="E20" s="196"/>
      <c r="F20" s="197" t="s">
        <v>170</v>
      </c>
      <c r="G20" s="201" t="s">
        <v>171</v>
      </c>
      <c r="H20" s="191" t="s">
        <v>250</v>
      </c>
      <c r="I20" s="192" t="s">
        <v>314</v>
      </c>
      <c r="J20" s="199"/>
      <c r="K20" s="192"/>
      <c r="L20" s="193" t="s">
        <v>66</v>
      </c>
      <c r="M20" s="193" t="s">
        <v>64</v>
      </c>
      <c r="N20" s="193" t="s">
        <v>64</v>
      </c>
      <c r="O20" s="193" t="s">
        <v>64</v>
      </c>
      <c r="P20" s="199"/>
      <c r="Q20" s="192"/>
      <c r="R20" s="199"/>
      <c r="S20" s="164"/>
      <c r="T20" s="164"/>
      <c r="U20" s="164"/>
      <c r="V20" s="164"/>
      <c r="W20" s="164"/>
      <c r="X20" s="164"/>
      <c r="Y20" s="164"/>
      <c r="Z20" s="164"/>
      <c r="AA20" s="164"/>
      <c r="AB20" s="170"/>
      <c r="AC20" s="170"/>
      <c r="AD20" s="170"/>
    </row>
    <row r="21">
      <c r="A21" s="164"/>
      <c r="B21" s="186">
        <f t="shared" si="1"/>
        <v>17</v>
      </c>
      <c r="C21" s="195"/>
      <c r="D21" s="200"/>
      <c r="E21" s="196"/>
      <c r="F21" s="189" t="s">
        <v>172</v>
      </c>
      <c r="G21" s="201" t="s">
        <v>173</v>
      </c>
      <c r="H21" s="191" t="s">
        <v>315</v>
      </c>
      <c r="I21" s="192" t="s">
        <v>316</v>
      </c>
      <c r="J21" s="199"/>
      <c r="K21" s="192"/>
      <c r="L21" s="193" t="s">
        <v>64</v>
      </c>
      <c r="M21" s="193" t="s">
        <v>64</v>
      </c>
      <c r="N21" s="193" t="s">
        <v>64</v>
      </c>
      <c r="O21" s="193" t="s">
        <v>64</v>
      </c>
      <c r="P21" s="199"/>
      <c r="Q21" s="192" t="s">
        <v>317</v>
      </c>
      <c r="R21" s="199"/>
      <c r="S21" s="164"/>
      <c r="T21" s="164"/>
      <c r="U21" s="164"/>
      <c r="V21" s="164"/>
      <c r="W21" s="164"/>
      <c r="X21" s="164"/>
      <c r="Y21" s="164"/>
      <c r="Z21" s="164"/>
      <c r="AA21" s="164"/>
      <c r="AB21" s="170"/>
      <c r="AC21" s="170"/>
      <c r="AD21" s="170"/>
    </row>
    <row r="22">
      <c r="A22" s="164"/>
      <c r="B22" s="186">
        <f t="shared" si="1"/>
        <v>18</v>
      </c>
      <c r="C22" s="195"/>
      <c r="D22" s="200"/>
      <c r="E22" s="196"/>
      <c r="F22" s="189" t="s">
        <v>174</v>
      </c>
      <c r="G22" s="206" t="s">
        <v>173</v>
      </c>
      <c r="H22" s="191" t="s">
        <v>250</v>
      </c>
      <c r="I22" s="191" t="s">
        <v>250</v>
      </c>
      <c r="J22" s="199"/>
      <c r="K22" s="192"/>
      <c r="L22" s="193" t="s">
        <v>64</v>
      </c>
      <c r="M22" s="193" t="s">
        <v>64</v>
      </c>
      <c r="N22" s="193" t="s">
        <v>64</v>
      </c>
      <c r="O22" s="193" t="s">
        <v>64</v>
      </c>
      <c r="P22" s="192"/>
      <c r="Q22" s="192"/>
      <c r="R22" s="199"/>
      <c r="S22" s="164"/>
      <c r="T22" s="164"/>
      <c r="U22" s="164"/>
      <c r="V22" s="164"/>
      <c r="W22" s="164"/>
      <c r="X22" s="164"/>
      <c r="Y22" s="164"/>
      <c r="Z22" s="164"/>
      <c r="AA22" s="164"/>
      <c r="AB22" s="170"/>
      <c r="AC22" s="170"/>
      <c r="AD22" s="170"/>
    </row>
    <row r="23">
      <c r="A23" s="164"/>
      <c r="B23" s="186">
        <f t="shared" si="1"/>
        <v>19</v>
      </c>
      <c r="C23" s="195"/>
      <c r="D23" s="200"/>
      <c r="E23" s="196"/>
      <c r="F23" s="189" t="s">
        <v>175</v>
      </c>
      <c r="G23" s="206" t="s">
        <v>42</v>
      </c>
      <c r="H23" s="191" t="s">
        <v>318</v>
      </c>
      <c r="I23" s="192" t="s">
        <v>319</v>
      </c>
      <c r="J23" s="199"/>
      <c r="K23" s="192"/>
      <c r="L23" s="193" t="s">
        <v>66</v>
      </c>
      <c r="M23" s="193" t="s">
        <v>64</v>
      </c>
      <c r="N23" s="193" t="s">
        <v>64</v>
      </c>
      <c r="O23" s="193" t="s">
        <v>64</v>
      </c>
      <c r="P23" s="192"/>
      <c r="Q23" s="199"/>
      <c r="R23" s="192"/>
      <c r="S23" s="164"/>
      <c r="T23" s="164"/>
      <c r="U23" s="164"/>
      <c r="V23" s="164"/>
      <c r="W23" s="164"/>
      <c r="X23" s="164"/>
      <c r="Y23" s="164"/>
      <c r="Z23" s="164"/>
      <c r="AA23" s="164"/>
      <c r="AB23" s="170"/>
      <c r="AC23" s="170"/>
      <c r="AD23" s="170"/>
    </row>
    <row r="24">
      <c r="A24" s="164"/>
      <c r="B24" s="186">
        <f t="shared" si="1"/>
        <v>20</v>
      </c>
      <c r="C24" s="195"/>
      <c r="D24" s="195"/>
      <c r="E24" s="196"/>
      <c r="F24" s="206" t="s">
        <v>177</v>
      </c>
      <c r="G24" s="206" t="s">
        <v>178</v>
      </c>
      <c r="H24" s="191" t="s">
        <v>250</v>
      </c>
      <c r="I24" s="192" t="s">
        <v>320</v>
      </c>
      <c r="J24" s="199"/>
      <c r="K24" s="192"/>
      <c r="L24" s="193" t="s">
        <v>64</v>
      </c>
      <c r="M24" s="193" t="s">
        <v>64</v>
      </c>
      <c r="N24" s="193" t="s">
        <v>64</v>
      </c>
      <c r="O24" s="193" t="s">
        <v>64</v>
      </c>
      <c r="P24" s="199"/>
      <c r="Q24" s="192" t="s">
        <v>302</v>
      </c>
      <c r="R24" s="199"/>
      <c r="S24" s="164"/>
      <c r="T24" s="164"/>
      <c r="U24" s="164"/>
      <c r="V24" s="164"/>
      <c r="W24" s="164"/>
      <c r="X24" s="164"/>
      <c r="Y24" s="164"/>
      <c r="Z24" s="164"/>
      <c r="AA24" s="164"/>
      <c r="AB24" s="170"/>
      <c r="AC24" s="170"/>
      <c r="AD24" s="170"/>
    </row>
    <row r="25">
      <c r="A25" s="164"/>
      <c r="B25" s="186">
        <f t="shared" si="1"/>
        <v>21</v>
      </c>
      <c r="C25" s="195"/>
      <c r="D25" s="195"/>
      <c r="E25" s="196"/>
      <c r="F25" s="189" t="s">
        <v>185</v>
      </c>
      <c r="G25" s="206" t="s">
        <v>186</v>
      </c>
      <c r="H25" s="191" t="s">
        <v>321</v>
      </c>
      <c r="I25" s="192" t="s">
        <v>322</v>
      </c>
      <c r="J25" s="199"/>
      <c r="K25" s="192"/>
      <c r="L25" s="193" t="s">
        <v>64</v>
      </c>
      <c r="M25" s="193" t="s">
        <v>64</v>
      </c>
      <c r="N25" s="193" t="s">
        <v>64</v>
      </c>
      <c r="O25" s="193" t="s">
        <v>64</v>
      </c>
      <c r="P25" s="199"/>
      <c r="Q25" s="199"/>
      <c r="R25" s="199"/>
      <c r="S25" s="164"/>
      <c r="T25" s="164"/>
      <c r="U25" s="164"/>
      <c r="V25" s="164"/>
      <c r="W25" s="164"/>
      <c r="X25" s="164"/>
      <c r="Y25" s="164"/>
      <c r="Z25" s="164"/>
      <c r="AA25" s="164"/>
      <c r="AB25" s="170"/>
      <c r="AC25" s="170"/>
      <c r="AD25" s="170"/>
    </row>
    <row r="26">
      <c r="A26" s="164"/>
      <c r="B26" s="186">
        <f t="shared" si="1"/>
        <v>22</v>
      </c>
      <c r="C26" s="195"/>
      <c r="D26" s="205"/>
      <c r="E26" s="196"/>
      <c r="F26" s="189" t="s">
        <v>190</v>
      </c>
      <c r="G26" s="206" t="s">
        <v>188</v>
      </c>
      <c r="H26" s="191" t="s">
        <v>323</v>
      </c>
      <c r="I26" s="192" t="s">
        <v>316</v>
      </c>
      <c r="J26" s="199"/>
      <c r="K26" s="192"/>
      <c r="L26" s="193" t="s">
        <v>64</v>
      </c>
      <c r="M26" s="193" t="s">
        <v>64</v>
      </c>
      <c r="N26" s="193" t="s">
        <v>64</v>
      </c>
      <c r="O26" s="193" t="s">
        <v>64</v>
      </c>
      <c r="P26" s="199"/>
      <c r="Q26" s="199"/>
      <c r="R26" s="199"/>
      <c r="S26" s="164"/>
      <c r="T26" s="164"/>
      <c r="U26" s="164"/>
      <c r="V26" s="164"/>
      <c r="W26" s="164"/>
      <c r="X26" s="164"/>
      <c r="Y26" s="164"/>
      <c r="Z26" s="164"/>
      <c r="AA26" s="164"/>
      <c r="AB26" s="170"/>
      <c r="AC26" s="170"/>
      <c r="AD26" s="170"/>
    </row>
    <row r="27">
      <c r="A27" s="164"/>
      <c r="B27" s="222">
        <f t="shared" si="1"/>
        <v>23</v>
      </c>
      <c r="C27" s="203"/>
      <c r="D27" s="204"/>
      <c r="E27" s="196"/>
      <c r="F27" s="189" t="s">
        <v>259</v>
      </c>
      <c r="G27" s="190"/>
      <c r="H27" s="191" t="s">
        <v>260</v>
      </c>
      <c r="I27" s="192" t="s">
        <v>261</v>
      </c>
      <c r="J27" s="192" t="s">
        <v>324</v>
      </c>
      <c r="K27" s="192"/>
      <c r="L27" s="193" t="s">
        <v>64</v>
      </c>
      <c r="M27" s="193"/>
      <c r="N27" s="193"/>
      <c r="O27" s="193"/>
      <c r="P27" s="199"/>
      <c r="Q27" s="199"/>
      <c r="R27" s="199"/>
      <c r="S27" s="164"/>
      <c r="T27" s="164"/>
      <c r="U27" s="164"/>
      <c r="V27" s="164"/>
      <c r="W27" s="164"/>
      <c r="X27" s="164"/>
      <c r="Y27" s="164"/>
      <c r="Z27" s="164"/>
      <c r="AA27" s="164"/>
      <c r="AB27" s="170"/>
      <c r="AC27" s="170"/>
      <c r="AD27" s="170"/>
    </row>
    <row r="28">
      <c r="A28" s="164"/>
      <c r="B28" s="222">
        <f t="shared" si="1"/>
        <v>24</v>
      </c>
      <c r="C28" s="203"/>
      <c r="D28" s="204"/>
      <c r="E28" s="196"/>
      <c r="F28" s="197"/>
      <c r="G28" s="190"/>
      <c r="H28" s="191" t="s">
        <v>325</v>
      </c>
      <c r="I28" s="192" t="s">
        <v>265</v>
      </c>
      <c r="J28" s="192" t="s">
        <v>324</v>
      </c>
      <c r="K28" s="192"/>
      <c r="L28" s="193" t="s">
        <v>64</v>
      </c>
      <c r="M28" s="193"/>
      <c r="N28" s="193"/>
      <c r="O28" s="193"/>
      <c r="P28" s="199"/>
      <c r="Q28" s="199"/>
      <c r="R28" s="199"/>
      <c r="S28" s="164"/>
      <c r="T28" s="164"/>
      <c r="U28" s="164"/>
      <c r="V28" s="164"/>
      <c r="W28" s="164"/>
      <c r="X28" s="164"/>
      <c r="Y28" s="164"/>
      <c r="Z28" s="164"/>
      <c r="AA28" s="164"/>
      <c r="AB28" s="170"/>
      <c r="AC28" s="170"/>
      <c r="AD28" s="170"/>
    </row>
    <row r="29">
      <c r="A29" s="164"/>
      <c r="B29" s="222">
        <f t="shared" si="1"/>
        <v>25</v>
      </c>
      <c r="C29" s="203"/>
      <c r="D29" s="204"/>
      <c r="E29" s="196"/>
      <c r="F29" s="197"/>
      <c r="G29" s="190"/>
      <c r="H29" s="191" t="s">
        <v>326</v>
      </c>
      <c r="I29" s="192" t="s">
        <v>263</v>
      </c>
      <c r="J29" s="192" t="s">
        <v>324</v>
      </c>
      <c r="K29" s="192"/>
      <c r="L29" s="193" t="s">
        <v>64</v>
      </c>
      <c r="M29" s="193"/>
      <c r="N29" s="193"/>
      <c r="O29" s="193"/>
      <c r="P29" s="199"/>
      <c r="Q29" s="199"/>
      <c r="R29" s="199"/>
      <c r="S29" s="164"/>
      <c r="T29" s="164"/>
      <c r="U29" s="164"/>
      <c r="V29" s="164"/>
      <c r="W29" s="164"/>
      <c r="X29" s="164"/>
      <c r="Y29" s="164"/>
      <c r="Z29" s="164"/>
      <c r="AA29" s="164"/>
      <c r="AB29" s="170"/>
      <c r="AC29" s="170"/>
      <c r="AD29" s="170"/>
    </row>
    <row r="30">
      <c r="A30" s="164"/>
      <c r="B30" s="222">
        <f t="shared" si="1"/>
        <v>26</v>
      </c>
      <c r="C30" s="203"/>
      <c r="D30" s="204"/>
      <c r="E30" s="196"/>
      <c r="F30" s="197"/>
      <c r="G30" s="190"/>
      <c r="H30" s="191" t="s">
        <v>266</v>
      </c>
      <c r="I30" s="192" t="s">
        <v>261</v>
      </c>
      <c r="J30" s="192" t="s">
        <v>324</v>
      </c>
      <c r="K30" s="192"/>
      <c r="L30" s="193" t="s">
        <v>64</v>
      </c>
      <c r="M30" s="193"/>
      <c r="N30" s="193"/>
      <c r="O30" s="193"/>
      <c r="P30" s="199"/>
      <c r="Q30" s="199"/>
      <c r="R30" s="199"/>
      <c r="S30" s="164"/>
      <c r="T30" s="164"/>
      <c r="U30" s="164"/>
      <c r="V30" s="164"/>
      <c r="W30" s="164"/>
      <c r="X30" s="164"/>
      <c r="Y30" s="164"/>
      <c r="Z30" s="164"/>
      <c r="AA30" s="164"/>
      <c r="AB30" s="170"/>
      <c r="AC30" s="170"/>
      <c r="AD30" s="170"/>
    </row>
    <row r="31">
      <c r="A31" s="164"/>
      <c r="B31" s="222">
        <f t="shared" si="1"/>
        <v>27</v>
      </c>
      <c r="C31" s="203"/>
      <c r="D31" s="204"/>
      <c r="E31" s="196"/>
      <c r="F31" s="202"/>
      <c r="G31" s="190"/>
      <c r="H31" s="191" t="s">
        <v>325</v>
      </c>
      <c r="I31" s="192" t="s">
        <v>265</v>
      </c>
      <c r="J31" s="192" t="s">
        <v>324</v>
      </c>
      <c r="K31" s="192"/>
      <c r="L31" s="193" t="s">
        <v>64</v>
      </c>
      <c r="M31" s="193"/>
      <c r="N31" s="193"/>
      <c r="O31" s="193"/>
      <c r="P31" s="199"/>
      <c r="Q31" s="199"/>
      <c r="R31" s="199"/>
      <c r="S31" s="164"/>
      <c r="T31" s="164"/>
      <c r="U31" s="164"/>
      <c r="V31" s="164"/>
      <c r="W31" s="164"/>
      <c r="X31" s="164"/>
      <c r="Y31" s="164"/>
      <c r="Z31" s="164"/>
      <c r="AA31" s="164"/>
      <c r="AB31" s="170"/>
      <c r="AC31" s="170"/>
      <c r="AD31" s="170"/>
    </row>
    <row r="32">
      <c r="A32" s="164"/>
      <c r="B32" s="186">
        <f t="shared" si="1"/>
        <v>28</v>
      </c>
      <c r="C32" s="203" t="s">
        <v>164</v>
      </c>
      <c r="D32" s="204" t="s">
        <v>165</v>
      </c>
      <c r="E32" s="188" t="s">
        <v>327</v>
      </c>
      <c r="F32" s="197" t="s">
        <v>167</v>
      </c>
      <c r="G32" s="190" t="s">
        <v>204</v>
      </c>
      <c r="H32" s="191" t="s">
        <v>308</v>
      </c>
      <c r="I32" s="192" t="s">
        <v>309</v>
      </c>
      <c r="J32" s="199"/>
      <c r="K32" s="192"/>
      <c r="L32" s="193" t="s">
        <v>66</v>
      </c>
      <c r="M32" s="193" t="s">
        <v>64</v>
      </c>
      <c r="N32" s="193" t="s">
        <v>64</v>
      </c>
      <c r="O32" s="193" t="s">
        <v>64</v>
      </c>
      <c r="P32" s="199"/>
      <c r="Q32" s="199"/>
      <c r="R32" s="199"/>
      <c r="S32" s="164"/>
      <c r="T32" s="164"/>
      <c r="U32" s="164"/>
      <c r="V32" s="164"/>
      <c r="W32" s="164"/>
      <c r="X32" s="164"/>
      <c r="Y32" s="164"/>
      <c r="Z32" s="164"/>
      <c r="AA32" s="164"/>
      <c r="AB32" s="170"/>
      <c r="AC32" s="170"/>
      <c r="AD32" s="170"/>
    </row>
    <row r="33">
      <c r="A33" s="164"/>
      <c r="B33" s="186">
        <f t="shared" si="1"/>
        <v>29</v>
      </c>
      <c r="C33" s="195"/>
      <c r="D33" s="205"/>
      <c r="E33" s="196"/>
      <c r="F33" s="197"/>
      <c r="G33" s="190" t="s">
        <v>206</v>
      </c>
      <c r="H33" s="191" t="s">
        <v>250</v>
      </c>
      <c r="I33" s="192" t="s">
        <v>250</v>
      </c>
      <c r="J33" s="199"/>
      <c r="K33" s="192"/>
      <c r="L33" s="193" t="s">
        <v>66</v>
      </c>
      <c r="M33" s="193" t="s">
        <v>64</v>
      </c>
      <c r="N33" s="193" t="s">
        <v>64</v>
      </c>
      <c r="O33" s="193" t="s">
        <v>64</v>
      </c>
      <c r="P33" s="199"/>
      <c r="Q33" s="199"/>
      <c r="R33" s="199"/>
      <c r="S33" s="164"/>
      <c r="T33" s="164"/>
      <c r="U33" s="164"/>
      <c r="V33" s="164"/>
      <c r="W33" s="164"/>
      <c r="X33" s="164"/>
      <c r="Y33" s="164"/>
      <c r="Z33" s="164"/>
      <c r="AA33" s="164"/>
      <c r="AB33" s="170"/>
      <c r="AC33" s="170"/>
      <c r="AD33" s="170"/>
    </row>
    <row r="34">
      <c r="A34" s="164"/>
      <c r="B34" s="186">
        <f t="shared" si="1"/>
        <v>30</v>
      </c>
      <c r="C34" s="195"/>
      <c r="D34" s="205"/>
      <c r="E34" s="196"/>
      <c r="F34" s="197"/>
      <c r="G34" s="190" t="s">
        <v>208</v>
      </c>
      <c r="H34" s="191" t="s">
        <v>250</v>
      </c>
      <c r="I34" s="192" t="s">
        <v>250</v>
      </c>
      <c r="J34" s="199"/>
      <c r="K34" s="192"/>
      <c r="L34" s="193" t="s">
        <v>66</v>
      </c>
      <c r="M34" s="193" t="s">
        <v>64</v>
      </c>
      <c r="N34" s="193" t="s">
        <v>64</v>
      </c>
      <c r="O34" s="193" t="s">
        <v>64</v>
      </c>
      <c r="P34" s="199"/>
      <c r="Q34" s="199"/>
      <c r="R34" s="199"/>
      <c r="S34" s="164"/>
      <c r="T34" s="164"/>
      <c r="U34" s="164"/>
      <c r="V34" s="164"/>
      <c r="W34" s="164"/>
      <c r="X34" s="164"/>
      <c r="Y34" s="164"/>
      <c r="Z34" s="164"/>
      <c r="AA34" s="164"/>
      <c r="AB34" s="170"/>
      <c r="AC34" s="170"/>
      <c r="AD34" s="170"/>
    </row>
    <row r="35">
      <c r="A35" s="164"/>
      <c r="B35" s="186">
        <f t="shared" si="1"/>
        <v>31</v>
      </c>
      <c r="C35" s="195"/>
      <c r="D35" s="205"/>
      <c r="E35" s="196"/>
      <c r="F35" s="197"/>
      <c r="G35" s="190" t="s">
        <v>210</v>
      </c>
      <c r="H35" s="191" t="s">
        <v>250</v>
      </c>
      <c r="I35" s="192" t="s">
        <v>250</v>
      </c>
      <c r="J35" s="199"/>
      <c r="K35" s="192"/>
      <c r="L35" s="193" t="s">
        <v>66</v>
      </c>
      <c r="M35" s="193" t="s">
        <v>64</v>
      </c>
      <c r="N35" s="193" t="s">
        <v>64</v>
      </c>
      <c r="O35" s="193" t="s">
        <v>64</v>
      </c>
      <c r="P35" s="199"/>
      <c r="Q35" s="199"/>
      <c r="R35" s="199"/>
      <c r="S35" s="164"/>
      <c r="T35" s="164"/>
      <c r="U35" s="164"/>
      <c r="V35" s="164"/>
      <c r="W35" s="164"/>
      <c r="X35" s="164"/>
      <c r="Y35" s="164"/>
      <c r="Z35" s="164"/>
      <c r="AA35" s="164"/>
      <c r="AB35" s="170"/>
      <c r="AC35" s="170"/>
      <c r="AD35" s="170"/>
    </row>
    <row r="36">
      <c r="A36" s="164"/>
      <c r="B36" s="186">
        <f t="shared" si="1"/>
        <v>32</v>
      </c>
      <c r="C36" s="195"/>
      <c r="D36" s="205"/>
      <c r="E36" s="196"/>
      <c r="F36" s="197"/>
      <c r="G36" s="190" t="s">
        <v>212</v>
      </c>
      <c r="H36" s="191" t="s">
        <v>250</v>
      </c>
      <c r="I36" s="192" t="s">
        <v>250</v>
      </c>
      <c r="J36" s="199"/>
      <c r="K36" s="192"/>
      <c r="L36" s="193" t="s">
        <v>66</v>
      </c>
      <c r="M36" s="193" t="s">
        <v>64</v>
      </c>
      <c r="N36" s="193" t="s">
        <v>64</v>
      </c>
      <c r="O36" s="193" t="s">
        <v>64</v>
      </c>
      <c r="P36" s="199"/>
      <c r="Q36" s="199"/>
      <c r="R36" s="199"/>
      <c r="S36" s="164"/>
      <c r="T36" s="164"/>
      <c r="U36" s="164"/>
      <c r="V36" s="164"/>
      <c r="W36" s="164"/>
      <c r="X36" s="164"/>
      <c r="Y36" s="164"/>
      <c r="Z36" s="164"/>
      <c r="AA36" s="164"/>
      <c r="AB36" s="170"/>
      <c r="AC36" s="170"/>
      <c r="AD36" s="170"/>
    </row>
    <row r="37">
      <c r="A37" s="164"/>
      <c r="B37" s="186">
        <f t="shared" si="1"/>
        <v>33</v>
      </c>
      <c r="C37" s="195"/>
      <c r="D37" s="205"/>
      <c r="E37" s="196"/>
      <c r="F37" s="197"/>
      <c r="G37" s="190" t="s">
        <v>214</v>
      </c>
      <c r="H37" s="191" t="s">
        <v>250</v>
      </c>
      <c r="I37" s="192" t="s">
        <v>250</v>
      </c>
      <c r="J37" s="199"/>
      <c r="K37" s="192"/>
      <c r="L37" s="193" t="s">
        <v>66</v>
      </c>
      <c r="M37" s="193" t="s">
        <v>64</v>
      </c>
      <c r="N37" s="193" t="s">
        <v>64</v>
      </c>
      <c r="O37" s="193" t="s">
        <v>64</v>
      </c>
      <c r="P37" s="199"/>
      <c r="Q37" s="199"/>
      <c r="R37" s="199"/>
      <c r="S37" s="164"/>
      <c r="T37" s="164"/>
      <c r="U37" s="164"/>
      <c r="V37" s="164"/>
      <c r="W37" s="164"/>
      <c r="X37" s="164"/>
      <c r="Y37" s="164"/>
      <c r="Z37" s="164"/>
      <c r="AA37" s="164"/>
      <c r="AB37" s="170"/>
      <c r="AC37" s="170"/>
      <c r="AD37" s="170"/>
    </row>
    <row r="38">
      <c r="A38" s="164"/>
      <c r="B38" s="186">
        <f t="shared" si="1"/>
        <v>34</v>
      </c>
      <c r="C38" s="195"/>
      <c r="D38" s="205"/>
      <c r="E38" s="196"/>
      <c r="F38" s="197"/>
      <c r="G38" s="190" t="s">
        <v>311</v>
      </c>
      <c r="H38" s="191" t="s">
        <v>250</v>
      </c>
      <c r="I38" s="192" t="s">
        <v>250</v>
      </c>
      <c r="J38" s="199"/>
      <c r="K38" s="192"/>
      <c r="L38" s="193" t="s">
        <v>66</v>
      </c>
      <c r="M38" s="193" t="s">
        <v>64</v>
      </c>
      <c r="N38" s="193" t="s">
        <v>64</v>
      </c>
      <c r="O38" s="193" t="s">
        <v>64</v>
      </c>
      <c r="P38" s="199"/>
      <c r="Q38" s="199"/>
      <c r="R38" s="199"/>
      <c r="S38" s="164"/>
      <c r="T38" s="164"/>
      <c r="U38" s="164"/>
      <c r="V38" s="164"/>
      <c r="W38" s="164"/>
      <c r="X38" s="164"/>
      <c r="Y38" s="164"/>
      <c r="Z38" s="164"/>
      <c r="AA38" s="164"/>
      <c r="AB38" s="170"/>
      <c r="AC38" s="170"/>
      <c r="AD38" s="170"/>
    </row>
    <row r="39">
      <c r="A39" s="164"/>
      <c r="B39" s="186">
        <f t="shared" si="1"/>
        <v>35</v>
      </c>
      <c r="C39" s="195"/>
      <c r="D39" s="205"/>
      <c r="E39" s="196"/>
      <c r="F39" s="197"/>
      <c r="G39" s="190" t="s">
        <v>312</v>
      </c>
      <c r="H39" s="191" t="s">
        <v>250</v>
      </c>
      <c r="I39" s="192" t="s">
        <v>250</v>
      </c>
      <c r="J39" s="199"/>
      <c r="K39" s="192"/>
      <c r="L39" s="193" t="s">
        <v>66</v>
      </c>
      <c r="M39" s="193" t="s">
        <v>64</v>
      </c>
      <c r="N39" s="193" t="s">
        <v>64</v>
      </c>
      <c r="O39" s="193" t="s">
        <v>64</v>
      </c>
      <c r="P39" s="199"/>
      <c r="Q39" s="199"/>
      <c r="R39" s="199"/>
      <c r="S39" s="164"/>
      <c r="T39" s="164"/>
      <c r="U39" s="164"/>
      <c r="V39" s="164"/>
      <c r="W39" s="164"/>
      <c r="X39" s="164"/>
      <c r="Y39" s="164"/>
      <c r="Z39" s="164"/>
      <c r="AA39" s="164"/>
      <c r="AB39" s="170"/>
      <c r="AC39" s="170"/>
      <c r="AD39" s="170"/>
    </row>
    <row r="40">
      <c r="A40" s="164"/>
      <c r="B40" s="186">
        <f t="shared" si="1"/>
        <v>36</v>
      </c>
      <c r="C40" s="195"/>
      <c r="D40" s="205"/>
      <c r="E40" s="196"/>
      <c r="F40" s="197"/>
      <c r="G40" s="190" t="s">
        <v>313</v>
      </c>
      <c r="H40" s="191" t="s">
        <v>250</v>
      </c>
      <c r="I40" s="192" t="s">
        <v>250</v>
      </c>
      <c r="J40" s="199"/>
      <c r="K40" s="192"/>
      <c r="L40" s="193" t="s">
        <v>66</v>
      </c>
      <c r="M40" s="193" t="s">
        <v>64</v>
      </c>
      <c r="N40" s="193" t="s">
        <v>64</v>
      </c>
      <c r="O40" s="193" t="s">
        <v>64</v>
      </c>
      <c r="P40" s="199"/>
      <c r="Q40" s="199"/>
      <c r="R40" s="199"/>
      <c r="S40" s="164"/>
      <c r="T40" s="164"/>
      <c r="U40" s="164"/>
      <c r="V40" s="164"/>
      <c r="W40" s="164"/>
      <c r="X40" s="164"/>
      <c r="Y40" s="164"/>
      <c r="Z40" s="164"/>
      <c r="AA40" s="164"/>
      <c r="AB40" s="170"/>
      <c r="AC40" s="170"/>
      <c r="AD40" s="170"/>
    </row>
    <row r="41">
      <c r="A41" s="164"/>
      <c r="B41" s="186">
        <f t="shared" si="1"/>
        <v>37</v>
      </c>
      <c r="C41" s="195"/>
      <c r="D41" s="205"/>
      <c r="E41" s="196"/>
      <c r="F41" s="197"/>
      <c r="G41" s="198" t="s">
        <v>219</v>
      </c>
      <c r="H41" s="191" t="s">
        <v>250</v>
      </c>
      <c r="I41" s="192" t="s">
        <v>250</v>
      </c>
      <c r="J41" s="199"/>
      <c r="K41" s="192"/>
      <c r="L41" s="193" t="s">
        <v>66</v>
      </c>
      <c r="M41" s="193" t="s">
        <v>64</v>
      </c>
      <c r="N41" s="193" t="s">
        <v>64</v>
      </c>
      <c r="O41" s="193" t="s">
        <v>64</v>
      </c>
      <c r="P41" s="199"/>
      <c r="Q41" s="199"/>
      <c r="R41" s="199"/>
      <c r="S41" s="164"/>
      <c r="T41" s="164"/>
      <c r="U41" s="164"/>
      <c r="V41" s="164"/>
      <c r="W41" s="164"/>
      <c r="X41" s="164"/>
      <c r="Y41" s="164"/>
      <c r="Z41" s="164"/>
      <c r="AA41" s="164"/>
      <c r="AB41" s="170"/>
      <c r="AC41" s="170"/>
      <c r="AD41" s="170"/>
    </row>
    <row r="42">
      <c r="A42" s="164"/>
      <c r="B42" s="186">
        <f t="shared" si="1"/>
        <v>38</v>
      </c>
      <c r="C42" s="195"/>
      <c r="D42" s="205"/>
      <c r="E42" s="196"/>
      <c r="F42" s="197"/>
      <c r="G42" s="198" t="s">
        <v>220</v>
      </c>
      <c r="H42" s="191" t="s">
        <v>250</v>
      </c>
      <c r="I42" s="192" t="s">
        <v>250</v>
      </c>
      <c r="J42" s="199"/>
      <c r="K42" s="192"/>
      <c r="L42" s="193" t="s">
        <v>66</v>
      </c>
      <c r="M42" s="193" t="s">
        <v>64</v>
      </c>
      <c r="N42" s="193" t="s">
        <v>64</v>
      </c>
      <c r="O42" s="193" t="s">
        <v>64</v>
      </c>
      <c r="P42" s="199"/>
      <c r="Q42" s="199"/>
      <c r="R42" s="199"/>
      <c r="S42" s="164"/>
      <c r="T42" s="164"/>
      <c r="U42" s="164"/>
      <c r="V42" s="164"/>
      <c r="W42" s="164"/>
      <c r="X42" s="164"/>
      <c r="Y42" s="164"/>
      <c r="Z42" s="164"/>
      <c r="AA42" s="164"/>
      <c r="AB42" s="170"/>
      <c r="AC42" s="170"/>
      <c r="AD42" s="170"/>
    </row>
    <row r="43">
      <c r="A43" s="164"/>
      <c r="B43" s="186">
        <f t="shared" si="1"/>
        <v>39</v>
      </c>
      <c r="C43" s="195"/>
      <c r="D43" s="205"/>
      <c r="E43" s="196"/>
      <c r="F43" s="197"/>
      <c r="G43" s="198" t="s">
        <v>222</v>
      </c>
      <c r="H43" s="191" t="s">
        <v>250</v>
      </c>
      <c r="I43" s="192" t="s">
        <v>250</v>
      </c>
      <c r="J43" s="199"/>
      <c r="K43" s="192"/>
      <c r="L43" s="193" t="s">
        <v>66</v>
      </c>
      <c r="M43" s="193" t="s">
        <v>64</v>
      </c>
      <c r="N43" s="193" t="s">
        <v>64</v>
      </c>
      <c r="O43" s="193" t="s">
        <v>64</v>
      </c>
      <c r="P43" s="199"/>
      <c r="Q43" s="199"/>
      <c r="R43" s="199"/>
      <c r="S43" s="164"/>
      <c r="T43" s="164"/>
      <c r="U43" s="164"/>
      <c r="V43" s="164"/>
      <c r="W43" s="164"/>
      <c r="X43" s="164"/>
      <c r="Y43" s="164"/>
      <c r="Z43" s="164"/>
      <c r="AA43" s="164"/>
      <c r="AB43" s="170"/>
      <c r="AC43" s="170"/>
      <c r="AD43" s="170"/>
    </row>
    <row r="44">
      <c r="A44" s="164"/>
      <c r="B44" s="186">
        <f t="shared" si="1"/>
        <v>40</v>
      </c>
      <c r="C44" s="195"/>
      <c r="D44" s="205"/>
      <c r="E44" s="196"/>
      <c r="F44" s="197"/>
      <c r="G44" s="198" t="s">
        <v>223</v>
      </c>
      <c r="H44" s="191" t="s">
        <v>250</v>
      </c>
      <c r="I44" s="192" t="s">
        <v>250</v>
      </c>
      <c r="J44" s="199"/>
      <c r="K44" s="192"/>
      <c r="L44" s="193" t="s">
        <v>66</v>
      </c>
      <c r="M44" s="193" t="s">
        <v>64</v>
      </c>
      <c r="N44" s="193" t="s">
        <v>64</v>
      </c>
      <c r="O44" s="193" t="s">
        <v>64</v>
      </c>
      <c r="P44" s="199"/>
      <c r="Q44" s="199"/>
      <c r="R44" s="199"/>
      <c r="S44" s="164"/>
      <c r="T44" s="164"/>
      <c r="U44" s="164"/>
      <c r="V44" s="164"/>
      <c r="W44" s="164"/>
      <c r="X44" s="164"/>
      <c r="Y44" s="164"/>
      <c r="Z44" s="164"/>
      <c r="AA44" s="164"/>
      <c r="AB44" s="170"/>
      <c r="AC44" s="170"/>
      <c r="AD44" s="170"/>
    </row>
    <row r="45">
      <c r="A45" s="164"/>
      <c r="B45" s="186">
        <f t="shared" si="1"/>
        <v>41</v>
      </c>
      <c r="C45" s="195"/>
      <c r="D45" s="205"/>
      <c r="E45" s="196"/>
      <c r="F45" s="197"/>
      <c r="G45" s="198" t="s">
        <v>225</v>
      </c>
      <c r="H45" s="191" t="s">
        <v>250</v>
      </c>
      <c r="I45" s="192" t="s">
        <v>250</v>
      </c>
      <c r="J45" s="199"/>
      <c r="K45" s="192"/>
      <c r="L45" s="193" t="s">
        <v>66</v>
      </c>
      <c r="M45" s="193" t="s">
        <v>64</v>
      </c>
      <c r="N45" s="193" t="s">
        <v>64</v>
      </c>
      <c r="O45" s="193" t="s">
        <v>64</v>
      </c>
      <c r="P45" s="199"/>
      <c r="Q45" s="199"/>
      <c r="R45" s="199"/>
      <c r="S45" s="164"/>
      <c r="T45" s="164"/>
      <c r="U45" s="164"/>
      <c r="V45" s="164"/>
      <c r="W45" s="164"/>
      <c r="X45" s="164"/>
      <c r="Y45" s="164"/>
      <c r="Z45" s="164"/>
      <c r="AA45" s="164"/>
      <c r="AB45" s="170"/>
      <c r="AC45" s="170"/>
      <c r="AD45" s="170"/>
    </row>
    <row r="46">
      <c r="A46" s="164"/>
      <c r="B46" s="186">
        <f t="shared" si="1"/>
        <v>42</v>
      </c>
      <c r="C46" s="195"/>
      <c r="D46" s="205"/>
      <c r="E46" s="196"/>
      <c r="F46" s="202"/>
      <c r="G46" s="198" t="s">
        <v>227</v>
      </c>
      <c r="H46" s="191" t="s">
        <v>250</v>
      </c>
      <c r="I46" s="192" t="s">
        <v>250</v>
      </c>
      <c r="J46" s="199"/>
      <c r="K46" s="192"/>
      <c r="L46" s="193" t="s">
        <v>66</v>
      </c>
      <c r="M46" s="193" t="s">
        <v>64</v>
      </c>
      <c r="N46" s="193" t="s">
        <v>64</v>
      </c>
      <c r="O46" s="193" t="s">
        <v>64</v>
      </c>
      <c r="P46" s="199"/>
      <c r="Q46" s="199"/>
      <c r="R46" s="199"/>
      <c r="S46" s="164"/>
      <c r="T46" s="164"/>
      <c r="U46" s="164"/>
      <c r="V46" s="164"/>
      <c r="W46" s="164"/>
      <c r="X46" s="164"/>
      <c r="Y46" s="164"/>
      <c r="Z46" s="164"/>
      <c r="AA46" s="164"/>
      <c r="AB46" s="170"/>
      <c r="AC46" s="170"/>
      <c r="AD46" s="170"/>
    </row>
    <row r="47">
      <c r="A47" s="164"/>
      <c r="B47" s="186">
        <f t="shared" si="1"/>
        <v>43</v>
      </c>
      <c r="C47" s="195"/>
      <c r="D47" s="205"/>
      <c r="E47" s="196"/>
      <c r="F47" s="197" t="s">
        <v>170</v>
      </c>
      <c r="G47" s="201" t="s">
        <v>171</v>
      </c>
      <c r="H47" s="191" t="s">
        <v>250</v>
      </c>
      <c r="I47" s="192" t="s">
        <v>314</v>
      </c>
      <c r="J47" s="199"/>
      <c r="K47" s="192"/>
      <c r="L47" s="193" t="s">
        <v>66</v>
      </c>
      <c r="M47" s="193" t="s">
        <v>64</v>
      </c>
      <c r="N47" s="193" t="s">
        <v>64</v>
      </c>
      <c r="O47" s="193" t="s">
        <v>64</v>
      </c>
      <c r="P47" s="199"/>
      <c r="Q47" s="199"/>
      <c r="R47" s="199"/>
      <c r="S47" s="164"/>
      <c r="T47" s="164"/>
      <c r="U47" s="164"/>
      <c r="V47" s="164"/>
      <c r="W47" s="164"/>
      <c r="X47" s="164"/>
      <c r="Y47" s="164"/>
      <c r="Z47" s="164"/>
      <c r="AA47" s="164"/>
      <c r="AB47" s="170"/>
      <c r="AC47" s="170"/>
      <c r="AD47" s="170"/>
    </row>
    <row r="48">
      <c r="A48" s="164"/>
      <c r="B48" s="186">
        <f t="shared" si="1"/>
        <v>44</v>
      </c>
      <c r="C48" s="195"/>
      <c r="D48" s="205"/>
      <c r="E48" s="196"/>
      <c r="F48" s="189" t="s">
        <v>172</v>
      </c>
      <c r="G48" s="201" t="s">
        <v>173</v>
      </c>
      <c r="H48" s="191" t="s">
        <v>315</v>
      </c>
      <c r="I48" s="192" t="s">
        <v>316</v>
      </c>
      <c r="J48" s="199"/>
      <c r="K48" s="192"/>
      <c r="L48" s="193" t="s">
        <v>64</v>
      </c>
      <c r="M48" s="193" t="s">
        <v>64</v>
      </c>
      <c r="N48" s="193" t="s">
        <v>64</v>
      </c>
      <c r="O48" s="193" t="s">
        <v>64</v>
      </c>
      <c r="P48" s="199"/>
      <c r="Q48" s="199"/>
      <c r="R48" s="199"/>
      <c r="S48" s="164"/>
      <c r="T48" s="164"/>
      <c r="U48" s="164"/>
      <c r="V48" s="164"/>
      <c r="W48" s="164"/>
      <c r="X48" s="164"/>
      <c r="Y48" s="164"/>
      <c r="Z48" s="164"/>
      <c r="AA48" s="164"/>
      <c r="AB48" s="170"/>
      <c r="AC48" s="170"/>
      <c r="AD48" s="170"/>
    </row>
    <row r="49">
      <c r="A49" s="164"/>
      <c r="B49" s="186">
        <f t="shared" si="1"/>
        <v>45</v>
      </c>
      <c r="C49" s="195"/>
      <c r="D49" s="205"/>
      <c r="E49" s="196"/>
      <c r="F49" s="189" t="s">
        <v>174</v>
      </c>
      <c r="G49" s="206" t="s">
        <v>173</v>
      </c>
      <c r="H49" s="191" t="s">
        <v>250</v>
      </c>
      <c r="I49" s="191" t="s">
        <v>250</v>
      </c>
      <c r="J49" s="199"/>
      <c r="K49" s="192"/>
      <c r="L49" s="193" t="s">
        <v>64</v>
      </c>
      <c r="M49" s="193" t="s">
        <v>64</v>
      </c>
      <c r="N49" s="193" t="s">
        <v>64</v>
      </c>
      <c r="O49" s="193" t="s">
        <v>64</v>
      </c>
      <c r="P49" s="199"/>
      <c r="Q49" s="199"/>
      <c r="R49" s="199"/>
      <c r="S49" s="164"/>
      <c r="T49" s="164"/>
      <c r="U49" s="164"/>
      <c r="V49" s="164"/>
      <c r="W49" s="164"/>
      <c r="X49" s="164"/>
      <c r="Y49" s="164"/>
      <c r="Z49" s="164"/>
      <c r="AA49" s="164"/>
      <c r="AB49" s="170"/>
      <c r="AC49" s="170"/>
      <c r="AD49" s="170"/>
    </row>
    <row r="50">
      <c r="A50" s="164"/>
      <c r="B50" s="186">
        <f t="shared" si="1"/>
        <v>46</v>
      </c>
      <c r="C50" s="195"/>
      <c r="D50" s="205"/>
      <c r="E50" s="196"/>
      <c r="F50" s="189" t="s">
        <v>175</v>
      </c>
      <c r="G50" s="206" t="s">
        <v>42</v>
      </c>
      <c r="H50" s="191" t="s">
        <v>318</v>
      </c>
      <c r="I50" s="192" t="s">
        <v>328</v>
      </c>
      <c r="J50" s="199"/>
      <c r="K50" s="192"/>
      <c r="L50" s="193" t="s">
        <v>66</v>
      </c>
      <c r="M50" s="193" t="s">
        <v>64</v>
      </c>
      <c r="N50" s="193" t="s">
        <v>64</v>
      </c>
      <c r="O50" s="193" t="s">
        <v>64</v>
      </c>
      <c r="P50" s="199"/>
      <c r="Q50" s="199"/>
      <c r="R50" s="199"/>
      <c r="S50" s="164"/>
      <c r="T50" s="164"/>
      <c r="U50" s="164"/>
      <c r="V50" s="164"/>
      <c r="W50" s="164"/>
      <c r="X50" s="164"/>
      <c r="Y50" s="164"/>
      <c r="Z50" s="164"/>
      <c r="AA50" s="164"/>
      <c r="AB50" s="170"/>
      <c r="AC50" s="170"/>
      <c r="AD50" s="170"/>
    </row>
    <row r="51">
      <c r="A51" s="164"/>
      <c r="B51" s="186">
        <f t="shared" si="1"/>
        <v>47</v>
      </c>
      <c r="C51" s="195"/>
      <c r="D51" s="205"/>
      <c r="E51" s="196"/>
      <c r="F51" s="189" t="s">
        <v>185</v>
      </c>
      <c r="G51" s="206" t="s">
        <v>186</v>
      </c>
      <c r="H51" s="191" t="s">
        <v>321</v>
      </c>
      <c r="I51" s="192" t="s">
        <v>322</v>
      </c>
      <c r="J51" s="199"/>
      <c r="K51" s="192"/>
      <c r="L51" s="193" t="s">
        <v>64</v>
      </c>
      <c r="M51" s="193" t="s">
        <v>64</v>
      </c>
      <c r="N51" s="193" t="s">
        <v>64</v>
      </c>
      <c r="O51" s="193" t="s">
        <v>64</v>
      </c>
      <c r="P51" s="199"/>
      <c r="Q51" s="199"/>
      <c r="R51" s="199"/>
      <c r="S51" s="164"/>
      <c r="T51" s="164"/>
      <c r="U51" s="164"/>
      <c r="V51" s="164"/>
      <c r="W51" s="164"/>
      <c r="X51" s="164"/>
      <c r="Y51" s="164"/>
      <c r="Z51" s="164"/>
      <c r="AA51" s="164"/>
      <c r="AB51" s="170"/>
      <c r="AC51" s="170"/>
      <c r="AD51" s="170"/>
    </row>
    <row r="52">
      <c r="A52" s="164"/>
      <c r="B52" s="222">
        <f t="shared" si="1"/>
        <v>48</v>
      </c>
      <c r="C52" s="203"/>
      <c r="D52" s="204"/>
      <c r="E52" s="196"/>
      <c r="F52" s="189" t="s">
        <v>259</v>
      </c>
      <c r="G52" s="190"/>
      <c r="H52" s="191" t="s">
        <v>278</v>
      </c>
      <c r="I52" s="192" t="s">
        <v>261</v>
      </c>
      <c r="J52" s="192" t="s">
        <v>324</v>
      </c>
      <c r="K52" s="192"/>
      <c r="L52" s="193" t="s">
        <v>68</v>
      </c>
      <c r="M52" s="193"/>
      <c r="N52" s="193"/>
      <c r="O52" s="193"/>
      <c r="P52" s="199"/>
      <c r="Q52" s="199"/>
      <c r="R52" s="199"/>
      <c r="S52" s="164"/>
      <c r="T52" s="164"/>
      <c r="U52" s="164"/>
      <c r="V52" s="164"/>
      <c r="W52" s="164"/>
      <c r="X52" s="164"/>
      <c r="Y52" s="164"/>
      <c r="Z52" s="164"/>
      <c r="AA52" s="164"/>
      <c r="AB52" s="170"/>
      <c r="AC52" s="170"/>
      <c r="AD52" s="170"/>
    </row>
    <row r="53">
      <c r="A53" s="164"/>
      <c r="B53" s="222">
        <f t="shared" si="1"/>
        <v>49</v>
      </c>
      <c r="C53" s="203"/>
      <c r="D53" s="204"/>
      <c r="E53" s="196"/>
      <c r="F53" s="197"/>
      <c r="G53" s="190"/>
      <c r="H53" s="191" t="s">
        <v>325</v>
      </c>
      <c r="I53" s="192" t="s">
        <v>265</v>
      </c>
      <c r="J53" s="192" t="s">
        <v>324</v>
      </c>
      <c r="K53" s="192"/>
      <c r="L53" s="193" t="s">
        <v>70</v>
      </c>
      <c r="M53" s="193"/>
      <c r="N53" s="193"/>
      <c r="O53" s="193"/>
      <c r="P53" s="199"/>
      <c r="Q53" s="199"/>
      <c r="R53" s="199"/>
      <c r="S53" s="164"/>
      <c r="T53" s="164"/>
      <c r="U53" s="164"/>
      <c r="V53" s="164"/>
      <c r="W53" s="164"/>
      <c r="X53" s="164"/>
      <c r="Y53" s="164"/>
      <c r="Z53" s="164"/>
      <c r="AA53" s="164"/>
      <c r="AB53" s="170"/>
      <c r="AC53" s="170"/>
      <c r="AD53" s="170"/>
    </row>
    <row r="54">
      <c r="A54" s="164"/>
      <c r="B54" s="222">
        <f t="shared" si="1"/>
        <v>50</v>
      </c>
      <c r="C54" s="203"/>
      <c r="D54" s="204"/>
      <c r="E54" s="196"/>
      <c r="F54" s="197"/>
      <c r="G54" s="190"/>
      <c r="H54" s="191" t="s">
        <v>329</v>
      </c>
      <c r="I54" s="192" t="s">
        <v>263</v>
      </c>
      <c r="J54" s="192" t="s">
        <v>324</v>
      </c>
      <c r="K54" s="192"/>
      <c r="L54" s="193" t="s">
        <v>70</v>
      </c>
      <c r="M54" s="193"/>
      <c r="N54" s="193"/>
      <c r="O54" s="193"/>
      <c r="P54" s="199"/>
      <c r="Q54" s="199"/>
      <c r="R54" s="199"/>
      <c r="S54" s="164"/>
      <c r="T54" s="164"/>
      <c r="U54" s="164"/>
      <c r="V54" s="164"/>
      <c r="W54" s="164"/>
      <c r="X54" s="164"/>
      <c r="Y54" s="164"/>
      <c r="Z54" s="164"/>
      <c r="AA54" s="164"/>
      <c r="AB54" s="170"/>
      <c r="AC54" s="170"/>
      <c r="AD54" s="170"/>
    </row>
    <row r="55">
      <c r="A55" s="164"/>
      <c r="B55" s="222">
        <f t="shared" si="1"/>
        <v>51</v>
      </c>
      <c r="C55" s="203"/>
      <c r="D55" s="204"/>
      <c r="E55" s="196"/>
      <c r="F55" s="197"/>
      <c r="G55" s="190"/>
      <c r="H55" s="191" t="s">
        <v>266</v>
      </c>
      <c r="I55" s="192" t="s">
        <v>261</v>
      </c>
      <c r="J55" s="192" t="s">
        <v>324</v>
      </c>
      <c r="K55" s="192"/>
      <c r="L55" s="193" t="s">
        <v>64</v>
      </c>
      <c r="M55" s="193"/>
      <c r="N55" s="193"/>
      <c r="O55" s="193"/>
      <c r="P55" s="199"/>
      <c r="Q55" s="199"/>
      <c r="R55" s="199"/>
      <c r="S55" s="164"/>
      <c r="T55" s="164"/>
      <c r="U55" s="164"/>
      <c r="V55" s="164"/>
      <c r="W55" s="164"/>
      <c r="X55" s="164"/>
      <c r="Y55" s="164"/>
      <c r="Z55" s="164"/>
      <c r="AA55" s="164"/>
      <c r="AB55" s="170"/>
      <c r="AC55" s="170"/>
      <c r="AD55" s="170"/>
    </row>
    <row r="56">
      <c r="A56" s="164"/>
      <c r="B56" s="222">
        <f t="shared" si="1"/>
        <v>52</v>
      </c>
      <c r="C56" s="203"/>
      <c r="D56" s="204"/>
      <c r="E56" s="196"/>
      <c r="F56" s="202"/>
      <c r="G56" s="190"/>
      <c r="H56" s="191" t="s">
        <v>325</v>
      </c>
      <c r="I56" s="192" t="s">
        <v>265</v>
      </c>
      <c r="J56" s="192" t="s">
        <v>324</v>
      </c>
      <c r="K56" s="192"/>
      <c r="L56" s="193" t="s">
        <v>64</v>
      </c>
      <c r="M56" s="193"/>
      <c r="N56" s="193"/>
      <c r="O56" s="193"/>
      <c r="P56" s="199"/>
      <c r="Q56" s="199"/>
      <c r="R56" s="199"/>
      <c r="S56" s="164"/>
      <c r="T56" s="164"/>
      <c r="U56" s="164"/>
      <c r="V56" s="164"/>
      <c r="W56" s="164"/>
      <c r="X56" s="164"/>
      <c r="Y56" s="164"/>
      <c r="Z56" s="164"/>
      <c r="AA56" s="164"/>
      <c r="AB56" s="170"/>
      <c r="AC56" s="170"/>
      <c r="AD56" s="170"/>
    </row>
    <row r="57">
      <c r="A57" s="164"/>
      <c r="B57" s="186">
        <f t="shared" si="1"/>
        <v>53</v>
      </c>
      <c r="C57" s="203" t="s">
        <v>164</v>
      </c>
      <c r="D57" s="204" t="s">
        <v>165</v>
      </c>
      <c r="E57" s="188" t="s">
        <v>330</v>
      </c>
      <c r="F57" s="189" t="s">
        <v>167</v>
      </c>
      <c r="G57" s="190" t="s">
        <v>204</v>
      </c>
      <c r="H57" s="191" t="s">
        <v>308</v>
      </c>
      <c r="I57" s="192" t="s">
        <v>309</v>
      </c>
      <c r="J57" s="199"/>
      <c r="K57" s="192"/>
      <c r="L57" s="193" t="s">
        <v>64</v>
      </c>
      <c r="M57" s="193" t="s">
        <v>64</v>
      </c>
      <c r="N57" s="193" t="s">
        <v>64</v>
      </c>
      <c r="O57" s="193" t="s">
        <v>64</v>
      </c>
      <c r="P57" s="199"/>
      <c r="Q57" s="199"/>
      <c r="R57" s="199"/>
      <c r="S57" s="164"/>
      <c r="T57" s="164"/>
      <c r="U57" s="164"/>
      <c r="V57" s="164"/>
      <c r="W57" s="164"/>
      <c r="X57" s="164"/>
      <c r="Y57" s="164"/>
      <c r="Z57" s="164"/>
      <c r="AA57" s="164"/>
      <c r="AB57" s="170"/>
      <c r="AC57" s="170"/>
      <c r="AD57" s="170"/>
    </row>
    <row r="58">
      <c r="A58" s="164"/>
      <c r="B58" s="186">
        <f t="shared" si="1"/>
        <v>54</v>
      </c>
      <c r="C58" s="195"/>
      <c r="D58" s="205"/>
      <c r="E58" s="196"/>
      <c r="F58" s="197"/>
      <c r="G58" s="190" t="s">
        <v>206</v>
      </c>
      <c r="H58" s="191" t="s">
        <v>250</v>
      </c>
      <c r="I58" s="192" t="s">
        <v>250</v>
      </c>
      <c r="J58" s="199"/>
      <c r="K58" s="192"/>
      <c r="L58" s="193" t="s">
        <v>64</v>
      </c>
      <c r="M58" s="193" t="s">
        <v>64</v>
      </c>
      <c r="N58" s="193" t="s">
        <v>64</v>
      </c>
      <c r="O58" s="193" t="s">
        <v>64</v>
      </c>
      <c r="P58" s="199"/>
      <c r="Q58" s="199"/>
      <c r="R58" s="199"/>
      <c r="S58" s="164"/>
      <c r="T58" s="164"/>
      <c r="U58" s="164"/>
      <c r="V58" s="164"/>
      <c r="W58" s="164"/>
      <c r="X58" s="164"/>
      <c r="Y58" s="164"/>
      <c r="Z58" s="164"/>
      <c r="AA58" s="164"/>
      <c r="AB58" s="170"/>
      <c r="AC58" s="170"/>
      <c r="AD58" s="170"/>
    </row>
    <row r="59">
      <c r="A59" s="164"/>
      <c r="B59" s="186">
        <f t="shared" si="1"/>
        <v>55</v>
      </c>
      <c r="C59" s="195"/>
      <c r="D59" s="205"/>
      <c r="E59" s="196"/>
      <c r="F59" s="197"/>
      <c r="G59" s="190" t="s">
        <v>208</v>
      </c>
      <c r="H59" s="191" t="s">
        <v>250</v>
      </c>
      <c r="I59" s="192" t="s">
        <v>250</v>
      </c>
      <c r="J59" s="199"/>
      <c r="K59" s="192"/>
      <c r="L59" s="193" t="s">
        <v>64</v>
      </c>
      <c r="M59" s="193" t="s">
        <v>64</v>
      </c>
      <c r="N59" s="193" t="s">
        <v>64</v>
      </c>
      <c r="O59" s="193" t="s">
        <v>64</v>
      </c>
      <c r="P59" s="199"/>
      <c r="Q59" s="199"/>
      <c r="R59" s="199"/>
      <c r="S59" s="164"/>
      <c r="T59" s="164"/>
      <c r="U59" s="164"/>
      <c r="V59" s="164"/>
      <c r="W59" s="164"/>
      <c r="X59" s="164"/>
      <c r="Y59" s="164"/>
      <c r="Z59" s="164"/>
      <c r="AA59" s="164"/>
      <c r="AB59" s="170"/>
      <c r="AC59" s="170"/>
      <c r="AD59" s="170"/>
    </row>
    <row r="60">
      <c r="A60" s="164"/>
      <c r="B60" s="186">
        <f t="shared" si="1"/>
        <v>56</v>
      </c>
      <c r="C60" s="195"/>
      <c r="D60" s="205"/>
      <c r="E60" s="196"/>
      <c r="F60" s="197"/>
      <c r="G60" s="190" t="s">
        <v>210</v>
      </c>
      <c r="H60" s="191" t="s">
        <v>250</v>
      </c>
      <c r="I60" s="192" t="s">
        <v>250</v>
      </c>
      <c r="J60" s="199"/>
      <c r="K60" s="192"/>
      <c r="L60" s="193" t="s">
        <v>64</v>
      </c>
      <c r="M60" s="193" t="s">
        <v>64</v>
      </c>
      <c r="N60" s="193" t="s">
        <v>64</v>
      </c>
      <c r="O60" s="193" t="s">
        <v>64</v>
      </c>
      <c r="P60" s="199"/>
      <c r="Q60" s="199"/>
      <c r="R60" s="199"/>
      <c r="S60" s="164"/>
      <c r="T60" s="164"/>
      <c r="U60" s="164"/>
      <c r="V60" s="164"/>
      <c r="W60" s="164"/>
      <c r="X60" s="164"/>
      <c r="Y60" s="164"/>
      <c r="Z60" s="164"/>
      <c r="AA60" s="164"/>
      <c r="AB60" s="170"/>
      <c r="AC60" s="170"/>
      <c r="AD60" s="170"/>
    </row>
    <row r="61">
      <c r="A61" s="164"/>
      <c r="B61" s="186">
        <f t="shared" si="1"/>
        <v>57</v>
      </c>
      <c r="C61" s="195"/>
      <c r="D61" s="205"/>
      <c r="E61" s="196"/>
      <c r="F61" s="197"/>
      <c r="G61" s="190" t="s">
        <v>212</v>
      </c>
      <c r="H61" s="191" t="s">
        <v>250</v>
      </c>
      <c r="I61" s="192" t="s">
        <v>250</v>
      </c>
      <c r="J61" s="199"/>
      <c r="K61" s="192"/>
      <c r="L61" s="193" t="s">
        <v>64</v>
      </c>
      <c r="M61" s="193" t="s">
        <v>64</v>
      </c>
      <c r="N61" s="193" t="s">
        <v>64</v>
      </c>
      <c r="O61" s="193" t="s">
        <v>64</v>
      </c>
      <c r="P61" s="199"/>
      <c r="Q61" s="199"/>
      <c r="R61" s="199"/>
      <c r="S61" s="164"/>
      <c r="T61" s="164"/>
      <c r="U61" s="164"/>
      <c r="V61" s="164"/>
      <c r="W61" s="164"/>
      <c r="X61" s="164"/>
      <c r="Y61" s="164"/>
      <c r="Z61" s="164"/>
      <c r="AA61" s="164"/>
      <c r="AB61" s="170"/>
      <c r="AC61" s="170"/>
      <c r="AD61" s="170"/>
    </row>
    <row r="62">
      <c r="A62" s="164"/>
      <c r="B62" s="186">
        <f t="shared" si="1"/>
        <v>58</v>
      </c>
      <c r="C62" s="195"/>
      <c r="D62" s="205"/>
      <c r="E62" s="196"/>
      <c r="F62" s="197"/>
      <c r="G62" s="190" t="s">
        <v>214</v>
      </c>
      <c r="H62" s="191" t="s">
        <v>250</v>
      </c>
      <c r="I62" s="192" t="s">
        <v>250</v>
      </c>
      <c r="J62" s="199"/>
      <c r="K62" s="192"/>
      <c r="L62" s="193" t="s">
        <v>64</v>
      </c>
      <c r="M62" s="193" t="s">
        <v>64</v>
      </c>
      <c r="N62" s="193" t="s">
        <v>64</v>
      </c>
      <c r="O62" s="193" t="s">
        <v>64</v>
      </c>
      <c r="P62" s="199"/>
      <c r="Q62" s="199"/>
      <c r="R62" s="199"/>
      <c r="S62" s="164"/>
      <c r="T62" s="164"/>
      <c r="U62" s="164"/>
      <c r="V62" s="164"/>
      <c r="W62" s="164"/>
      <c r="X62" s="164"/>
      <c r="Y62" s="164"/>
      <c r="Z62" s="164"/>
      <c r="AA62" s="164"/>
      <c r="AB62" s="170"/>
      <c r="AC62" s="170"/>
      <c r="AD62" s="170"/>
    </row>
    <row r="63">
      <c r="A63" s="164"/>
      <c r="B63" s="186">
        <f t="shared" si="1"/>
        <v>59</v>
      </c>
      <c r="C63" s="195"/>
      <c r="D63" s="205"/>
      <c r="E63" s="196"/>
      <c r="F63" s="197"/>
      <c r="G63" s="190" t="s">
        <v>311</v>
      </c>
      <c r="H63" s="191" t="s">
        <v>250</v>
      </c>
      <c r="I63" s="192" t="s">
        <v>250</v>
      </c>
      <c r="J63" s="199"/>
      <c r="K63" s="192"/>
      <c r="L63" s="193" t="s">
        <v>64</v>
      </c>
      <c r="M63" s="193" t="s">
        <v>64</v>
      </c>
      <c r="N63" s="193" t="s">
        <v>64</v>
      </c>
      <c r="O63" s="193" t="s">
        <v>64</v>
      </c>
      <c r="P63" s="199"/>
      <c r="Q63" s="199"/>
      <c r="R63" s="199"/>
      <c r="S63" s="164"/>
      <c r="T63" s="164"/>
      <c r="U63" s="164"/>
      <c r="V63" s="164"/>
      <c r="W63" s="164"/>
      <c r="X63" s="164"/>
      <c r="Y63" s="164"/>
      <c r="Z63" s="164"/>
      <c r="AA63" s="164"/>
      <c r="AB63" s="170"/>
      <c r="AC63" s="170"/>
      <c r="AD63" s="170"/>
    </row>
    <row r="64">
      <c r="A64" s="164"/>
      <c r="B64" s="186">
        <f t="shared" si="1"/>
        <v>60</v>
      </c>
      <c r="C64" s="195"/>
      <c r="D64" s="205"/>
      <c r="E64" s="196"/>
      <c r="F64" s="197"/>
      <c r="G64" s="190" t="s">
        <v>312</v>
      </c>
      <c r="H64" s="191" t="s">
        <v>250</v>
      </c>
      <c r="I64" s="192" t="s">
        <v>250</v>
      </c>
      <c r="J64" s="199"/>
      <c r="K64" s="192"/>
      <c r="L64" s="193" t="s">
        <v>64</v>
      </c>
      <c r="M64" s="193" t="s">
        <v>64</v>
      </c>
      <c r="N64" s="193" t="s">
        <v>64</v>
      </c>
      <c r="O64" s="193" t="s">
        <v>64</v>
      </c>
      <c r="P64" s="199"/>
      <c r="Q64" s="199"/>
      <c r="R64" s="199"/>
      <c r="S64" s="164"/>
      <c r="T64" s="164"/>
      <c r="U64" s="164"/>
      <c r="V64" s="164"/>
      <c r="W64" s="164"/>
      <c r="X64" s="164"/>
      <c r="Y64" s="164"/>
      <c r="Z64" s="164"/>
      <c r="AA64" s="164"/>
      <c r="AB64" s="170"/>
      <c r="AC64" s="170"/>
      <c r="AD64" s="170"/>
    </row>
    <row r="65">
      <c r="A65" s="164"/>
      <c r="B65" s="186">
        <f t="shared" si="1"/>
        <v>61</v>
      </c>
      <c r="C65" s="195"/>
      <c r="D65" s="205"/>
      <c r="E65" s="196"/>
      <c r="F65" s="197"/>
      <c r="G65" s="190" t="s">
        <v>313</v>
      </c>
      <c r="H65" s="191" t="s">
        <v>250</v>
      </c>
      <c r="I65" s="192" t="s">
        <v>250</v>
      </c>
      <c r="J65" s="199"/>
      <c r="K65" s="192"/>
      <c r="L65" s="193" t="s">
        <v>64</v>
      </c>
      <c r="M65" s="193" t="s">
        <v>64</v>
      </c>
      <c r="N65" s="193" t="s">
        <v>64</v>
      </c>
      <c r="O65" s="193" t="s">
        <v>64</v>
      </c>
      <c r="P65" s="199"/>
      <c r="Q65" s="199"/>
      <c r="R65" s="199"/>
      <c r="S65" s="164"/>
      <c r="T65" s="164"/>
      <c r="U65" s="164"/>
      <c r="V65" s="164"/>
      <c r="W65" s="164"/>
      <c r="X65" s="164"/>
      <c r="Y65" s="164"/>
      <c r="Z65" s="164"/>
      <c r="AA65" s="164"/>
      <c r="AB65" s="170"/>
      <c r="AC65" s="170"/>
      <c r="AD65" s="170"/>
    </row>
    <row r="66">
      <c r="A66" s="164"/>
      <c r="B66" s="186">
        <f t="shared" si="1"/>
        <v>62</v>
      </c>
      <c r="C66" s="195"/>
      <c r="D66" s="205"/>
      <c r="E66" s="196"/>
      <c r="F66" s="197"/>
      <c r="G66" s="198" t="s">
        <v>219</v>
      </c>
      <c r="H66" s="191" t="s">
        <v>250</v>
      </c>
      <c r="I66" s="192" t="s">
        <v>250</v>
      </c>
      <c r="J66" s="199"/>
      <c r="K66" s="192"/>
      <c r="L66" s="193" t="s">
        <v>64</v>
      </c>
      <c r="M66" s="193" t="s">
        <v>64</v>
      </c>
      <c r="N66" s="193" t="s">
        <v>64</v>
      </c>
      <c r="O66" s="193" t="s">
        <v>64</v>
      </c>
      <c r="P66" s="199"/>
      <c r="Q66" s="199"/>
      <c r="R66" s="199"/>
      <c r="S66" s="164"/>
      <c r="T66" s="164"/>
      <c r="U66" s="164"/>
      <c r="V66" s="164"/>
      <c r="W66" s="164"/>
      <c r="X66" s="164"/>
      <c r="Y66" s="164"/>
      <c r="Z66" s="164"/>
      <c r="AA66" s="164"/>
      <c r="AB66" s="170"/>
      <c r="AC66" s="170"/>
      <c r="AD66" s="170"/>
    </row>
    <row r="67">
      <c r="A67" s="164"/>
      <c r="B67" s="186">
        <f t="shared" si="1"/>
        <v>63</v>
      </c>
      <c r="C67" s="195"/>
      <c r="D67" s="205"/>
      <c r="E67" s="196"/>
      <c r="F67" s="197"/>
      <c r="G67" s="198" t="s">
        <v>220</v>
      </c>
      <c r="H67" s="191" t="s">
        <v>250</v>
      </c>
      <c r="I67" s="192" t="s">
        <v>250</v>
      </c>
      <c r="J67" s="199"/>
      <c r="K67" s="192"/>
      <c r="L67" s="193" t="s">
        <v>64</v>
      </c>
      <c r="M67" s="193" t="s">
        <v>64</v>
      </c>
      <c r="N67" s="193" t="s">
        <v>64</v>
      </c>
      <c r="O67" s="193" t="s">
        <v>64</v>
      </c>
      <c r="P67" s="199"/>
      <c r="Q67" s="199"/>
      <c r="R67" s="199"/>
      <c r="S67" s="164"/>
      <c r="T67" s="164"/>
      <c r="U67" s="164"/>
      <c r="V67" s="164"/>
      <c r="W67" s="164"/>
      <c r="X67" s="164"/>
      <c r="Y67" s="164"/>
      <c r="Z67" s="164"/>
      <c r="AA67" s="164"/>
      <c r="AB67" s="170"/>
      <c r="AC67" s="170"/>
      <c r="AD67" s="170"/>
    </row>
    <row r="68">
      <c r="A68" s="164"/>
      <c r="B68" s="186">
        <f t="shared" si="1"/>
        <v>64</v>
      </c>
      <c r="C68" s="195"/>
      <c r="D68" s="205"/>
      <c r="E68" s="196"/>
      <c r="F68" s="197"/>
      <c r="G68" s="198" t="s">
        <v>222</v>
      </c>
      <c r="H68" s="191" t="s">
        <v>250</v>
      </c>
      <c r="I68" s="192" t="s">
        <v>250</v>
      </c>
      <c r="J68" s="199"/>
      <c r="K68" s="192"/>
      <c r="L68" s="193" t="s">
        <v>64</v>
      </c>
      <c r="M68" s="193" t="s">
        <v>64</v>
      </c>
      <c r="N68" s="193" t="s">
        <v>64</v>
      </c>
      <c r="O68" s="193" t="s">
        <v>64</v>
      </c>
      <c r="P68" s="199"/>
      <c r="Q68" s="199"/>
      <c r="R68" s="199"/>
      <c r="S68" s="164"/>
      <c r="T68" s="164"/>
      <c r="U68" s="164"/>
      <c r="V68" s="164"/>
      <c r="W68" s="164"/>
      <c r="X68" s="164"/>
      <c r="Y68" s="164"/>
      <c r="Z68" s="164"/>
      <c r="AA68" s="164"/>
      <c r="AB68" s="170"/>
      <c r="AC68" s="170"/>
      <c r="AD68" s="170"/>
    </row>
    <row r="69">
      <c r="A69" s="164"/>
      <c r="B69" s="186">
        <f t="shared" si="1"/>
        <v>65</v>
      </c>
      <c r="C69" s="195"/>
      <c r="D69" s="205"/>
      <c r="E69" s="196"/>
      <c r="F69" s="197"/>
      <c r="G69" s="198" t="s">
        <v>223</v>
      </c>
      <c r="H69" s="191" t="s">
        <v>250</v>
      </c>
      <c r="I69" s="192" t="s">
        <v>250</v>
      </c>
      <c r="J69" s="199"/>
      <c r="K69" s="192"/>
      <c r="L69" s="193" t="s">
        <v>64</v>
      </c>
      <c r="M69" s="193" t="s">
        <v>64</v>
      </c>
      <c r="N69" s="193" t="s">
        <v>64</v>
      </c>
      <c r="O69" s="193" t="s">
        <v>64</v>
      </c>
      <c r="P69" s="199"/>
      <c r="Q69" s="199"/>
      <c r="R69" s="199"/>
      <c r="S69" s="164"/>
      <c r="T69" s="164"/>
      <c r="U69" s="164"/>
      <c r="V69" s="164"/>
      <c r="W69" s="164"/>
      <c r="X69" s="164"/>
      <c r="Y69" s="164"/>
      <c r="Z69" s="164"/>
      <c r="AA69" s="164"/>
      <c r="AB69" s="170"/>
      <c r="AC69" s="170"/>
      <c r="AD69" s="170"/>
    </row>
    <row r="70">
      <c r="A70" s="164"/>
      <c r="B70" s="186">
        <f t="shared" si="1"/>
        <v>66</v>
      </c>
      <c r="C70" s="195"/>
      <c r="D70" s="205"/>
      <c r="E70" s="196"/>
      <c r="F70" s="197"/>
      <c r="G70" s="198" t="s">
        <v>225</v>
      </c>
      <c r="H70" s="191" t="s">
        <v>250</v>
      </c>
      <c r="I70" s="192" t="s">
        <v>250</v>
      </c>
      <c r="J70" s="199"/>
      <c r="K70" s="192"/>
      <c r="L70" s="193" t="s">
        <v>64</v>
      </c>
      <c r="M70" s="193" t="s">
        <v>64</v>
      </c>
      <c r="N70" s="193" t="s">
        <v>64</v>
      </c>
      <c r="O70" s="193" t="s">
        <v>64</v>
      </c>
      <c r="P70" s="199"/>
      <c r="Q70" s="199"/>
      <c r="R70" s="199"/>
      <c r="S70" s="164"/>
      <c r="T70" s="164"/>
      <c r="U70" s="164"/>
      <c r="V70" s="164"/>
      <c r="W70" s="164"/>
      <c r="X70" s="164"/>
      <c r="Y70" s="164"/>
      <c r="Z70" s="164"/>
      <c r="AA70" s="164"/>
      <c r="AB70" s="170"/>
      <c r="AC70" s="170"/>
      <c r="AD70" s="170"/>
    </row>
    <row r="71">
      <c r="A71" s="164"/>
      <c r="B71" s="186">
        <f t="shared" si="1"/>
        <v>67</v>
      </c>
      <c r="C71" s="195"/>
      <c r="D71" s="205"/>
      <c r="E71" s="196"/>
      <c r="F71" s="202"/>
      <c r="G71" s="198" t="s">
        <v>227</v>
      </c>
      <c r="H71" s="191" t="s">
        <v>250</v>
      </c>
      <c r="I71" s="192" t="s">
        <v>250</v>
      </c>
      <c r="J71" s="199"/>
      <c r="K71" s="192"/>
      <c r="L71" s="193" t="s">
        <v>64</v>
      </c>
      <c r="M71" s="193" t="s">
        <v>64</v>
      </c>
      <c r="N71" s="193" t="s">
        <v>64</v>
      </c>
      <c r="O71" s="193" t="s">
        <v>64</v>
      </c>
      <c r="P71" s="199"/>
      <c r="Q71" s="199"/>
      <c r="R71" s="199"/>
      <c r="S71" s="164"/>
      <c r="T71" s="164"/>
      <c r="U71" s="164"/>
      <c r="V71" s="164"/>
      <c r="W71" s="164"/>
      <c r="X71" s="164"/>
      <c r="Y71" s="164"/>
      <c r="Z71" s="164"/>
      <c r="AA71" s="164"/>
      <c r="AB71" s="170"/>
      <c r="AC71" s="170"/>
      <c r="AD71" s="170"/>
    </row>
    <row r="72">
      <c r="A72" s="164"/>
      <c r="B72" s="186">
        <f t="shared" si="1"/>
        <v>68</v>
      </c>
      <c r="C72" s="195"/>
      <c r="D72" s="205"/>
      <c r="E72" s="196"/>
      <c r="F72" s="197" t="s">
        <v>170</v>
      </c>
      <c r="G72" s="201" t="s">
        <v>171</v>
      </c>
      <c r="H72" s="191" t="s">
        <v>250</v>
      </c>
      <c r="I72" s="192" t="s">
        <v>314</v>
      </c>
      <c r="J72" s="199"/>
      <c r="K72" s="192"/>
      <c r="L72" s="193" t="s">
        <v>64</v>
      </c>
      <c r="M72" s="193" t="s">
        <v>64</v>
      </c>
      <c r="N72" s="193" t="s">
        <v>64</v>
      </c>
      <c r="O72" s="193" t="s">
        <v>64</v>
      </c>
      <c r="P72" s="199"/>
      <c r="Q72" s="199"/>
      <c r="R72" s="199"/>
      <c r="S72" s="164"/>
      <c r="T72" s="164"/>
      <c r="U72" s="164"/>
      <c r="V72" s="164"/>
      <c r="W72" s="164"/>
      <c r="X72" s="164"/>
      <c r="Y72" s="164"/>
      <c r="Z72" s="164"/>
      <c r="AA72" s="164"/>
      <c r="AB72" s="170"/>
      <c r="AC72" s="170"/>
      <c r="AD72" s="170"/>
    </row>
    <row r="73">
      <c r="A73" s="164"/>
      <c r="B73" s="186">
        <f t="shared" si="1"/>
        <v>69</v>
      </c>
      <c r="C73" s="195"/>
      <c r="D73" s="205"/>
      <c r="E73" s="196"/>
      <c r="F73" s="189" t="s">
        <v>172</v>
      </c>
      <c r="G73" s="201" t="s">
        <v>173</v>
      </c>
      <c r="H73" s="191" t="s">
        <v>315</v>
      </c>
      <c r="I73" s="192" t="s">
        <v>316</v>
      </c>
      <c r="J73" s="199"/>
      <c r="K73" s="192"/>
      <c r="L73" s="193" t="s">
        <v>64</v>
      </c>
      <c r="M73" s="193" t="s">
        <v>64</v>
      </c>
      <c r="N73" s="193" t="s">
        <v>64</v>
      </c>
      <c r="O73" s="193" t="s">
        <v>64</v>
      </c>
      <c r="P73" s="199"/>
      <c r="Q73" s="199"/>
      <c r="R73" s="199"/>
      <c r="S73" s="164"/>
      <c r="T73" s="164"/>
      <c r="U73" s="164"/>
      <c r="V73" s="164"/>
      <c r="W73" s="164"/>
      <c r="X73" s="164"/>
      <c r="Y73" s="164"/>
      <c r="Z73" s="164"/>
      <c r="AA73" s="164"/>
      <c r="AB73" s="170"/>
      <c r="AC73" s="170"/>
      <c r="AD73" s="170"/>
    </row>
    <row r="74">
      <c r="A74" s="164"/>
      <c r="B74" s="186">
        <f t="shared" si="1"/>
        <v>70</v>
      </c>
      <c r="C74" s="195"/>
      <c r="D74" s="205"/>
      <c r="E74" s="196"/>
      <c r="F74" s="189" t="s">
        <v>174</v>
      </c>
      <c r="G74" s="206" t="s">
        <v>173</v>
      </c>
      <c r="H74" s="191" t="s">
        <v>250</v>
      </c>
      <c r="I74" s="191" t="s">
        <v>250</v>
      </c>
      <c r="J74" s="199"/>
      <c r="K74" s="192"/>
      <c r="L74" s="193" t="s">
        <v>64</v>
      </c>
      <c r="M74" s="193" t="s">
        <v>64</v>
      </c>
      <c r="N74" s="193" t="s">
        <v>64</v>
      </c>
      <c r="O74" s="193" t="s">
        <v>64</v>
      </c>
      <c r="P74" s="199"/>
      <c r="Q74" s="199"/>
      <c r="R74" s="199"/>
      <c r="S74" s="164"/>
      <c r="T74" s="164"/>
      <c r="U74" s="164"/>
      <c r="V74" s="164"/>
      <c r="W74" s="164"/>
      <c r="X74" s="164"/>
      <c r="Y74" s="164"/>
      <c r="Z74" s="164"/>
      <c r="AA74" s="164"/>
      <c r="AB74" s="170"/>
      <c r="AC74" s="170"/>
      <c r="AD74" s="170"/>
    </row>
    <row r="75">
      <c r="A75" s="164"/>
      <c r="B75" s="186">
        <f t="shared" si="1"/>
        <v>71</v>
      </c>
      <c r="C75" s="195"/>
      <c r="D75" s="205"/>
      <c r="E75" s="196"/>
      <c r="F75" s="189" t="s">
        <v>175</v>
      </c>
      <c r="G75" s="206" t="s">
        <v>42</v>
      </c>
      <c r="H75" s="191" t="s">
        <v>318</v>
      </c>
      <c r="I75" s="192" t="s">
        <v>331</v>
      </c>
      <c r="J75" s="199"/>
      <c r="K75" s="192"/>
      <c r="L75" s="193" t="s">
        <v>64</v>
      </c>
      <c r="M75" s="193" t="s">
        <v>64</v>
      </c>
      <c r="N75" s="193" t="s">
        <v>64</v>
      </c>
      <c r="O75" s="193" t="s">
        <v>64</v>
      </c>
      <c r="P75" s="199"/>
      <c r="Q75" s="199"/>
      <c r="R75" s="199"/>
      <c r="S75" s="164"/>
      <c r="T75" s="164"/>
      <c r="U75" s="164"/>
      <c r="V75" s="164"/>
      <c r="W75" s="164"/>
      <c r="X75" s="164"/>
      <c r="Y75" s="164"/>
      <c r="Z75" s="164"/>
      <c r="AA75" s="164"/>
      <c r="AB75" s="170"/>
      <c r="AC75" s="170"/>
      <c r="AD75" s="170"/>
    </row>
    <row r="76">
      <c r="A76" s="164"/>
      <c r="B76" s="186">
        <f t="shared" si="1"/>
        <v>72</v>
      </c>
      <c r="C76" s="195"/>
      <c r="D76" s="205"/>
      <c r="E76" s="196"/>
      <c r="F76" s="189" t="s">
        <v>185</v>
      </c>
      <c r="G76" s="206" t="s">
        <v>186</v>
      </c>
      <c r="H76" s="191" t="s">
        <v>321</v>
      </c>
      <c r="I76" s="192" t="s">
        <v>322</v>
      </c>
      <c r="J76" s="199"/>
      <c r="K76" s="192"/>
      <c r="L76" s="193" t="s">
        <v>64</v>
      </c>
      <c r="M76" s="193" t="s">
        <v>64</v>
      </c>
      <c r="N76" s="193" t="s">
        <v>64</v>
      </c>
      <c r="O76" s="193" t="s">
        <v>64</v>
      </c>
      <c r="P76" s="199"/>
      <c r="Q76" s="199"/>
      <c r="R76" s="199"/>
      <c r="S76" s="164"/>
      <c r="T76" s="164"/>
      <c r="U76" s="164"/>
      <c r="V76" s="164"/>
      <c r="W76" s="164"/>
      <c r="X76" s="164"/>
      <c r="Y76" s="164"/>
      <c r="Z76" s="164"/>
      <c r="AA76" s="164"/>
      <c r="AB76" s="170"/>
      <c r="AC76" s="170"/>
      <c r="AD76" s="170"/>
    </row>
    <row r="77">
      <c r="A77" s="164"/>
      <c r="B77" s="222">
        <f t="shared" si="1"/>
        <v>73</v>
      </c>
      <c r="C77" s="203"/>
      <c r="D77" s="204"/>
      <c r="E77" s="196"/>
      <c r="F77" s="189" t="s">
        <v>259</v>
      </c>
      <c r="G77" s="190"/>
      <c r="H77" s="191" t="s">
        <v>278</v>
      </c>
      <c r="I77" s="192" t="s">
        <v>261</v>
      </c>
      <c r="J77" s="192" t="s">
        <v>324</v>
      </c>
      <c r="K77" s="192"/>
      <c r="L77" s="193" t="s">
        <v>64</v>
      </c>
      <c r="M77" s="193"/>
      <c r="N77" s="193"/>
      <c r="O77" s="193"/>
      <c r="P77" s="199"/>
      <c r="Q77" s="199"/>
      <c r="R77" s="199"/>
      <c r="S77" s="164"/>
      <c r="T77" s="164"/>
      <c r="U77" s="164"/>
      <c r="V77" s="164"/>
      <c r="W77" s="164"/>
      <c r="X77" s="164"/>
      <c r="Y77" s="164"/>
      <c r="Z77" s="164"/>
      <c r="AA77" s="164"/>
      <c r="AB77" s="170"/>
      <c r="AC77" s="170"/>
      <c r="AD77" s="170"/>
    </row>
    <row r="78">
      <c r="A78" s="164"/>
      <c r="B78" s="222">
        <f t="shared" si="1"/>
        <v>74</v>
      </c>
      <c r="C78" s="203"/>
      <c r="D78" s="204"/>
      <c r="E78" s="196"/>
      <c r="F78" s="197"/>
      <c r="G78" s="190"/>
      <c r="H78" s="191" t="s">
        <v>325</v>
      </c>
      <c r="I78" s="192" t="s">
        <v>265</v>
      </c>
      <c r="J78" s="192" t="s">
        <v>324</v>
      </c>
      <c r="K78" s="192"/>
      <c r="L78" s="193" t="s">
        <v>64</v>
      </c>
      <c r="M78" s="193"/>
      <c r="N78" s="193"/>
      <c r="O78" s="193"/>
      <c r="P78" s="199"/>
      <c r="Q78" s="199"/>
      <c r="R78" s="199"/>
      <c r="S78" s="164"/>
      <c r="T78" s="164"/>
      <c r="U78" s="164"/>
      <c r="V78" s="164"/>
      <c r="W78" s="164"/>
      <c r="X78" s="164"/>
      <c r="Y78" s="164"/>
      <c r="Z78" s="164"/>
      <c r="AA78" s="164"/>
      <c r="AB78" s="170"/>
      <c r="AC78" s="170"/>
      <c r="AD78" s="170"/>
    </row>
    <row r="79">
      <c r="A79" s="164"/>
      <c r="B79" s="222">
        <f t="shared" si="1"/>
        <v>75</v>
      </c>
      <c r="C79" s="203"/>
      <c r="D79" s="204"/>
      <c r="E79" s="196"/>
      <c r="F79" s="197"/>
      <c r="G79" s="190"/>
      <c r="H79" s="191" t="s">
        <v>329</v>
      </c>
      <c r="I79" s="192" t="s">
        <v>263</v>
      </c>
      <c r="J79" s="192" t="s">
        <v>324</v>
      </c>
      <c r="K79" s="192"/>
      <c r="L79" s="193" t="s">
        <v>64</v>
      </c>
      <c r="M79" s="193"/>
      <c r="N79" s="193"/>
      <c r="O79" s="193"/>
      <c r="P79" s="199"/>
      <c r="Q79" s="199"/>
      <c r="R79" s="199"/>
      <c r="S79" s="164"/>
      <c r="T79" s="164"/>
      <c r="U79" s="164"/>
      <c r="V79" s="164"/>
      <c r="W79" s="164"/>
      <c r="X79" s="164"/>
      <c r="Y79" s="164"/>
      <c r="Z79" s="164"/>
      <c r="AA79" s="164"/>
      <c r="AB79" s="170"/>
      <c r="AC79" s="170"/>
      <c r="AD79" s="170"/>
    </row>
    <row r="80">
      <c r="A80" s="164"/>
      <c r="B80" s="222">
        <f t="shared" si="1"/>
        <v>76</v>
      </c>
      <c r="C80" s="203"/>
      <c r="D80" s="204"/>
      <c r="E80" s="196"/>
      <c r="F80" s="197"/>
      <c r="G80" s="190"/>
      <c r="H80" s="191" t="s">
        <v>266</v>
      </c>
      <c r="I80" s="192" t="s">
        <v>261</v>
      </c>
      <c r="J80" s="192" t="s">
        <v>324</v>
      </c>
      <c r="K80" s="192"/>
      <c r="L80" s="193" t="s">
        <v>64</v>
      </c>
      <c r="M80" s="193"/>
      <c r="N80" s="193"/>
      <c r="O80" s="193"/>
      <c r="P80" s="199"/>
      <c r="Q80" s="199"/>
      <c r="R80" s="199"/>
      <c r="S80" s="164"/>
      <c r="T80" s="164"/>
      <c r="U80" s="164"/>
      <c r="V80" s="164"/>
      <c r="W80" s="164"/>
      <c r="X80" s="164"/>
      <c r="Y80" s="164"/>
      <c r="Z80" s="164"/>
      <c r="AA80" s="164"/>
      <c r="AB80" s="170"/>
      <c r="AC80" s="170"/>
      <c r="AD80" s="170"/>
    </row>
    <row r="81">
      <c r="A81" s="164"/>
      <c r="B81" s="222">
        <f t="shared" si="1"/>
        <v>77</v>
      </c>
      <c r="C81" s="203"/>
      <c r="D81" s="204"/>
      <c r="E81" s="196"/>
      <c r="F81" s="202"/>
      <c r="G81" s="190"/>
      <c r="H81" s="191" t="s">
        <v>325</v>
      </c>
      <c r="I81" s="192" t="s">
        <v>265</v>
      </c>
      <c r="J81" s="192" t="s">
        <v>324</v>
      </c>
      <c r="K81" s="192"/>
      <c r="L81" s="193" t="s">
        <v>64</v>
      </c>
      <c r="M81" s="193"/>
      <c r="N81" s="193"/>
      <c r="O81" s="193"/>
      <c r="P81" s="199"/>
      <c r="Q81" s="199"/>
      <c r="R81" s="199"/>
      <c r="S81" s="164"/>
      <c r="T81" s="164"/>
      <c r="U81" s="164"/>
      <c r="V81" s="164"/>
      <c r="W81" s="164"/>
      <c r="X81" s="164"/>
      <c r="Y81" s="164"/>
      <c r="Z81" s="164"/>
      <c r="AA81" s="164"/>
      <c r="AB81" s="170"/>
      <c r="AC81" s="170"/>
      <c r="AD81" s="170"/>
    </row>
    <row r="82">
      <c r="A82" s="164"/>
      <c r="B82" s="186">
        <f t="shared" si="1"/>
        <v>78</v>
      </c>
      <c r="C82" s="203" t="s">
        <v>164</v>
      </c>
      <c r="D82" s="204" t="s">
        <v>165</v>
      </c>
      <c r="E82" s="188" t="s">
        <v>332</v>
      </c>
      <c r="F82" s="189" t="s">
        <v>167</v>
      </c>
      <c r="G82" s="190" t="s">
        <v>204</v>
      </c>
      <c r="H82" s="191" t="s">
        <v>308</v>
      </c>
      <c r="I82" s="192" t="s">
        <v>309</v>
      </c>
      <c r="J82" s="199"/>
      <c r="K82" s="192"/>
      <c r="L82" s="193" t="s">
        <v>64</v>
      </c>
      <c r="M82" s="193" t="s">
        <v>64</v>
      </c>
      <c r="N82" s="193" t="s">
        <v>64</v>
      </c>
      <c r="O82" s="193" t="s">
        <v>64</v>
      </c>
      <c r="P82" s="199"/>
      <c r="Q82" s="199"/>
      <c r="R82" s="199"/>
      <c r="S82" s="164"/>
      <c r="T82" s="164"/>
      <c r="U82" s="164"/>
      <c r="V82" s="164"/>
      <c r="W82" s="164"/>
      <c r="X82" s="164"/>
      <c r="Y82" s="164"/>
      <c r="Z82" s="164"/>
      <c r="AA82" s="164"/>
      <c r="AB82" s="170"/>
      <c r="AC82" s="170"/>
      <c r="AD82" s="170"/>
    </row>
    <row r="83">
      <c r="A83" s="164"/>
      <c r="B83" s="186">
        <f t="shared" si="1"/>
        <v>79</v>
      </c>
      <c r="C83" s="195"/>
      <c r="D83" s="195"/>
      <c r="E83" s="196"/>
      <c r="F83" s="197"/>
      <c r="G83" s="190" t="s">
        <v>206</v>
      </c>
      <c r="H83" s="191" t="s">
        <v>250</v>
      </c>
      <c r="I83" s="192" t="s">
        <v>250</v>
      </c>
      <c r="J83" s="199"/>
      <c r="K83" s="192"/>
      <c r="L83" s="193" t="s">
        <v>64</v>
      </c>
      <c r="M83" s="193" t="s">
        <v>64</v>
      </c>
      <c r="N83" s="193" t="s">
        <v>64</v>
      </c>
      <c r="O83" s="193" t="s">
        <v>64</v>
      </c>
      <c r="P83" s="199"/>
      <c r="Q83" s="199"/>
      <c r="R83" s="199"/>
      <c r="S83" s="164"/>
      <c r="T83" s="164"/>
      <c r="U83" s="164"/>
      <c r="V83" s="164"/>
      <c r="W83" s="164"/>
      <c r="X83" s="164"/>
      <c r="Y83" s="164"/>
      <c r="Z83" s="164"/>
      <c r="AA83" s="164"/>
      <c r="AB83" s="170"/>
      <c r="AC83" s="170"/>
      <c r="AD83" s="170"/>
    </row>
    <row r="84">
      <c r="A84" s="164"/>
      <c r="B84" s="186">
        <f t="shared" si="1"/>
        <v>80</v>
      </c>
      <c r="C84" s="195"/>
      <c r="D84" s="195"/>
      <c r="E84" s="196"/>
      <c r="F84" s="197"/>
      <c r="G84" s="190" t="s">
        <v>208</v>
      </c>
      <c r="H84" s="191" t="s">
        <v>250</v>
      </c>
      <c r="I84" s="192" t="s">
        <v>250</v>
      </c>
      <c r="J84" s="199"/>
      <c r="K84" s="192"/>
      <c r="L84" s="193" t="s">
        <v>64</v>
      </c>
      <c r="M84" s="193" t="s">
        <v>64</v>
      </c>
      <c r="N84" s="193" t="s">
        <v>64</v>
      </c>
      <c r="O84" s="193" t="s">
        <v>64</v>
      </c>
      <c r="P84" s="199"/>
      <c r="Q84" s="199"/>
      <c r="R84" s="199"/>
      <c r="S84" s="164"/>
      <c r="T84" s="164"/>
      <c r="U84" s="164"/>
      <c r="V84" s="164"/>
      <c r="W84" s="164"/>
      <c r="X84" s="164"/>
      <c r="Y84" s="164"/>
      <c r="Z84" s="164"/>
      <c r="AA84" s="164"/>
      <c r="AB84" s="170"/>
      <c r="AC84" s="170"/>
      <c r="AD84" s="170"/>
    </row>
    <row r="85">
      <c r="A85" s="164"/>
      <c r="B85" s="186">
        <f t="shared" si="1"/>
        <v>81</v>
      </c>
      <c r="C85" s="195"/>
      <c r="D85" s="195"/>
      <c r="E85" s="196"/>
      <c r="F85" s="197"/>
      <c r="G85" s="190" t="s">
        <v>210</v>
      </c>
      <c r="H85" s="191" t="s">
        <v>250</v>
      </c>
      <c r="I85" s="192" t="s">
        <v>250</v>
      </c>
      <c r="J85" s="199"/>
      <c r="K85" s="192"/>
      <c r="L85" s="193" t="s">
        <v>64</v>
      </c>
      <c r="M85" s="193" t="s">
        <v>64</v>
      </c>
      <c r="N85" s="193" t="s">
        <v>64</v>
      </c>
      <c r="O85" s="193" t="s">
        <v>64</v>
      </c>
      <c r="P85" s="199"/>
      <c r="Q85" s="199"/>
      <c r="R85" s="199"/>
      <c r="S85" s="164"/>
      <c r="T85" s="164"/>
      <c r="U85" s="164"/>
      <c r="V85" s="164"/>
      <c r="W85" s="164"/>
      <c r="X85" s="164"/>
      <c r="Y85" s="164"/>
      <c r="Z85" s="164"/>
      <c r="AA85" s="164"/>
      <c r="AB85" s="170"/>
      <c r="AC85" s="170"/>
      <c r="AD85" s="170"/>
    </row>
    <row r="86">
      <c r="A86" s="164"/>
      <c r="B86" s="186">
        <f t="shared" si="1"/>
        <v>82</v>
      </c>
      <c r="C86" s="195"/>
      <c r="D86" s="195"/>
      <c r="E86" s="196"/>
      <c r="F86" s="197"/>
      <c r="G86" s="190" t="s">
        <v>212</v>
      </c>
      <c r="H86" s="191" t="s">
        <v>250</v>
      </c>
      <c r="I86" s="192" t="s">
        <v>250</v>
      </c>
      <c r="J86" s="199"/>
      <c r="K86" s="192"/>
      <c r="L86" s="193" t="s">
        <v>64</v>
      </c>
      <c r="M86" s="193" t="s">
        <v>64</v>
      </c>
      <c r="N86" s="193" t="s">
        <v>64</v>
      </c>
      <c r="O86" s="193" t="s">
        <v>64</v>
      </c>
      <c r="P86" s="199"/>
      <c r="Q86" s="199"/>
      <c r="R86" s="199"/>
      <c r="S86" s="164"/>
      <c r="T86" s="164"/>
      <c r="U86" s="164"/>
      <c r="V86" s="164"/>
      <c r="W86" s="164"/>
      <c r="X86" s="164"/>
      <c r="Y86" s="164"/>
      <c r="Z86" s="164"/>
      <c r="AA86" s="164"/>
      <c r="AB86" s="170"/>
      <c r="AC86" s="170"/>
      <c r="AD86" s="170"/>
    </row>
    <row r="87">
      <c r="A87" s="164"/>
      <c r="B87" s="186">
        <f t="shared" si="1"/>
        <v>83</v>
      </c>
      <c r="C87" s="195"/>
      <c r="D87" s="195"/>
      <c r="E87" s="196"/>
      <c r="F87" s="197"/>
      <c r="G87" s="190" t="s">
        <v>214</v>
      </c>
      <c r="H87" s="191" t="s">
        <v>250</v>
      </c>
      <c r="I87" s="192" t="s">
        <v>250</v>
      </c>
      <c r="J87" s="199"/>
      <c r="K87" s="192"/>
      <c r="L87" s="193" t="s">
        <v>64</v>
      </c>
      <c r="M87" s="193" t="s">
        <v>64</v>
      </c>
      <c r="N87" s="193" t="s">
        <v>64</v>
      </c>
      <c r="O87" s="193" t="s">
        <v>64</v>
      </c>
      <c r="P87" s="199"/>
      <c r="Q87" s="199"/>
      <c r="R87" s="199"/>
      <c r="S87" s="164"/>
      <c r="T87" s="164"/>
      <c r="U87" s="164"/>
      <c r="V87" s="164"/>
      <c r="W87" s="164"/>
      <c r="X87" s="164"/>
      <c r="Y87" s="164"/>
      <c r="Z87" s="164"/>
      <c r="AA87" s="164"/>
      <c r="AB87" s="170"/>
      <c r="AC87" s="170"/>
      <c r="AD87" s="170"/>
    </row>
    <row r="88">
      <c r="A88" s="164"/>
      <c r="B88" s="186">
        <f t="shared" si="1"/>
        <v>84</v>
      </c>
      <c r="C88" s="195"/>
      <c r="D88" s="195"/>
      <c r="E88" s="196"/>
      <c r="F88" s="197"/>
      <c r="G88" s="190" t="s">
        <v>311</v>
      </c>
      <c r="H88" s="191" t="s">
        <v>250</v>
      </c>
      <c r="I88" s="192" t="s">
        <v>250</v>
      </c>
      <c r="J88" s="199"/>
      <c r="K88" s="192"/>
      <c r="L88" s="193" t="s">
        <v>64</v>
      </c>
      <c r="M88" s="193" t="s">
        <v>64</v>
      </c>
      <c r="N88" s="193" t="s">
        <v>64</v>
      </c>
      <c r="O88" s="193" t="s">
        <v>64</v>
      </c>
      <c r="P88" s="199"/>
      <c r="Q88" s="199"/>
      <c r="R88" s="199"/>
      <c r="S88" s="164"/>
      <c r="T88" s="164"/>
      <c r="U88" s="164"/>
      <c r="V88" s="164"/>
      <c r="W88" s="164"/>
      <c r="X88" s="164"/>
      <c r="Y88" s="164"/>
      <c r="Z88" s="164"/>
      <c r="AA88" s="164"/>
      <c r="AB88" s="170"/>
      <c r="AC88" s="170"/>
      <c r="AD88" s="170"/>
    </row>
    <row r="89">
      <c r="A89" s="164"/>
      <c r="B89" s="186">
        <f t="shared" si="1"/>
        <v>85</v>
      </c>
      <c r="C89" s="195"/>
      <c r="D89" s="195"/>
      <c r="E89" s="196"/>
      <c r="F89" s="197"/>
      <c r="G89" s="190" t="s">
        <v>312</v>
      </c>
      <c r="H89" s="191" t="s">
        <v>250</v>
      </c>
      <c r="I89" s="192" t="s">
        <v>250</v>
      </c>
      <c r="J89" s="199"/>
      <c r="K89" s="192"/>
      <c r="L89" s="193" t="s">
        <v>64</v>
      </c>
      <c r="M89" s="193" t="s">
        <v>64</v>
      </c>
      <c r="N89" s="193" t="s">
        <v>64</v>
      </c>
      <c r="O89" s="193" t="s">
        <v>64</v>
      </c>
      <c r="P89" s="199"/>
      <c r="Q89" s="199"/>
      <c r="R89" s="199"/>
      <c r="S89" s="164"/>
      <c r="T89" s="164"/>
      <c r="U89" s="164"/>
      <c r="V89" s="164"/>
      <c r="W89" s="164"/>
      <c r="X89" s="164"/>
      <c r="Y89" s="164"/>
      <c r="Z89" s="164"/>
      <c r="AA89" s="164"/>
      <c r="AB89" s="170"/>
      <c r="AC89" s="170"/>
      <c r="AD89" s="170"/>
    </row>
    <row r="90">
      <c r="A90" s="164"/>
      <c r="B90" s="186">
        <f t="shared" si="1"/>
        <v>86</v>
      </c>
      <c r="C90" s="195"/>
      <c r="D90" s="195"/>
      <c r="E90" s="196"/>
      <c r="F90" s="197"/>
      <c r="G90" s="190" t="s">
        <v>313</v>
      </c>
      <c r="H90" s="191" t="s">
        <v>250</v>
      </c>
      <c r="I90" s="192" t="s">
        <v>250</v>
      </c>
      <c r="J90" s="199"/>
      <c r="K90" s="192"/>
      <c r="L90" s="193" t="s">
        <v>64</v>
      </c>
      <c r="M90" s="193" t="s">
        <v>64</v>
      </c>
      <c r="N90" s="193" t="s">
        <v>64</v>
      </c>
      <c r="O90" s="193" t="s">
        <v>64</v>
      </c>
      <c r="P90" s="199"/>
      <c r="Q90" s="199"/>
      <c r="R90" s="199"/>
      <c r="S90" s="164"/>
      <c r="T90" s="164"/>
      <c r="U90" s="164"/>
      <c r="V90" s="164"/>
      <c r="W90" s="164"/>
      <c r="X90" s="164"/>
      <c r="Y90" s="164"/>
      <c r="Z90" s="164"/>
      <c r="AA90" s="164"/>
      <c r="AB90" s="170"/>
      <c r="AC90" s="170"/>
      <c r="AD90" s="170"/>
    </row>
    <row r="91">
      <c r="A91" s="164"/>
      <c r="B91" s="186">
        <f t="shared" si="1"/>
        <v>87</v>
      </c>
      <c r="C91" s="195"/>
      <c r="D91" s="195"/>
      <c r="E91" s="196"/>
      <c r="F91" s="197"/>
      <c r="G91" s="198" t="s">
        <v>219</v>
      </c>
      <c r="H91" s="191" t="s">
        <v>250</v>
      </c>
      <c r="I91" s="192" t="s">
        <v>250</v>
      </c>
      <c r="J91" s="199"/>
      <c r="K91" s="192"/>
      <c r="L91" s="193" t="s">
        <v>64</v>
      </c>
      <c r="M91" s="193" t="s">
        <v>64</v>
      </c>
      <c r="N91" s="193" t="s">
        <v>64</v>
      </c>
      <c r="O91" s="193" t="s">
        <v>64</v>
      </c>
      <c r="P91" s="199"/>
      <c r="Q91" s="199"/>
      <c r="R91" s="199"/>
      <c r="S91" s="164"/>
      <c r="T91" s="164"/>
      <c r="U91" s="164"/>
      <c r="V91" s="164"/>
      <c r="W91" s="164"/>
      <c r="X91" s="164"/>
      <c r="Y91" s="164"/>
      <c r="Z91" s="164"/>
      <c r="AA91" s="164"/>
      <c r="AB91" s="170"/>
      <c r="AC91" s="170"/>
      <c r="AD91" s="170"/>
    </row>
    <row r="92">
      <c r="A92" s="164"/>
      <c r="B92" s="186">
        <f t="shared" si="1"/>
        <v>88</v>
      </c>
      <c r="C92" s="195"/>
      <c r="D92" s="195"/>
      <c r="E92" s="195"/>
      <c r="F92" s="197"/>
      <c r="G92" s="198" t="s">
        <v>220</v>
      </c>
      <c r="H92" s="191" t="s">
        <v>250</v>
      </c>
      <c r="I92" s="192" t="s">
        <v>250</v>
      </c>
      <c r="J92" s="199"/>
      <c r="K92" s="192"/>
      <c r="L92" s="193" t="s">
        <v>64</v>
      </c>
      <c r="M92" s="193" t="s">
        <v>64</v>
      </c>
      <c r="N92" s="193" t="s">
        <v>64</v>
      </c>
      <c r="O92" s="193" t="s">
        <v>64</v>
      </c>
      <c r="P92" s="199"/>
      <c r="Q92" s="199"/>
      <c r="R92" s="199"/>
      <c r="S92" s="164"/>
      <c r="T92" s="164"/>
      <c r="U92" s="164"/>
      <c r="V92" s="164"/>
      <c r="W92" s="164"/>
      <c r="X92" s="164"/>
      <c r="Y92" s="164"/>
      <c r="Z92" s="164"/>
      <c r="AA92" s="164"/>
      <c r="AB92" s="170"/>
      <c r="AC92" s="170"/>
      <c r="AD92" s="170"/>
    </row>
    <row r="93">
      <c r="A93" s="164"/>
      <c r="B93" s="186">
        <f t="shared" si="1"/>
        <v>89</v>
      </c>
      <c r="C93" s="195"/>
      <c r="D93" s="195"/>
      <c r="E93" s="195"/>
      <c r="F93" s="197"/>
      <c r="G93" s="198" t="s">
        <v>222</v>
      </c>
      <c r="H93" s="191" t="s">
        <v>250</v>
      </c>
      <c r="I93" s="192" t="s">
        <v>250</v>
      </c>
      <c r="J93" s="199"/>
      <c r="K93" s="192"/>
      <c r="L93" s="193" t="s">
        <v>64</v>
      </c>
      <c r="M93" s="193" t="s">
        <v>64</v>
      </c>
      <c r="N93" s="193" t="s">
        <v>64</v>
      </c>
      <c r="O93" s="193" t="s">
        <v>64</v>
      </c>
      <c r="P93" s="199"/>
      <c r="Q93" s="199"/>
      <c r="R93" s="199"/>
      <c r="S93" s="164"/>
      <c r="T93" s="164"/>
      <c r="U93" s="164"/>
      <c r="V93" s="164"/>
      <c r="W93" s="164"/>
      <c r="X93" s="164"/>
      <c r="Y93" s="164"/>
      <c r="Z93" s="164"/>
      <c r="AA93" s="164"/>
      <c r="AB93" s="170"/>
      <c r="AC93" s="170"/>
      <c r="AD93" s="170"/>
    </row>
    <row r="94">
      <c r="A94" s="164"/>
      <c r="B94" s="186">
        <f t="shared" si="1"/>
        <v>90</v>
      </c>
      <c r="C94" s="195"/>
      <c r="D94" s="195"/>
      <c r="E94" s="196"/>
      <c r="F94" s="197"/>
      <c r="G94" s="198" t="s">
        <v>223</v>
      </c>
      <c r="H94" s="191" t="s">
        <v>250</v>
      </c>
      <c r="I94" s="192" t="s">
        <v>250</v>
      </c>
      <c r="J94" s="199"/>
      <c r="K94" s="192"/>
      <c r="L94" s="193" t="s">
        <v>64</v>
      </c>
      <c r="M94" s="193" t="s">
        <v>64</v>
      </c>
      <c r="N94" s="193" t="s">
        <v>64</v>
      </c>
      <c r="O94" s="193" t="s">
        <v>64</v>
      </c>
      <c r="P94" s="199"/>
      <c r="Q94" s="199"/>
      <c r="R94" s="199"/>
      <c r="S94" s="164"/>
      <c r="T94" s="164"/>
      <c r="U94" s="164"/>
      <c r="V94" s="164"/>
      <c r="W94" s="164"/>
      <c r="X94" s="164"/>
      <c r="Y94" s="164"/>
      <c r="Z94" s="164"/>
      <c r="AA94" s="164"/>
      <c r="AB94" s="170"/>
      <c r="AC94" s="170"/>
      <c r="AD94" s="170"/>
    </row>
    <row r="95">
      <c r="A95" s="164"/>
      <c r="B95" s="186">
        <f t="shared" si="1"/>
        <v>91</v>
      </c>
      <c r="C95" s="195"/>
      <c r="D95" s="195"/>
      <c r="E95" s="196"/>
      <c r="F95" s="197"/>
      <c r="G95" s="198" t="s">
        <v>225</v>
      </c>
      <c r="H95" s="191" t="s">
        <v>250</v>
      </c>
      <c r="I95" s="192" t="s">
        <v>250</v>
      </c>
      <c r="J95" s="199"/>
      <c r="K95" s="192"/>
      <c r="L95" s="193" t="s">
        <v>64</v>
      </c>
      <c r="M95" s="193" t="s">
        <v>64</v>
      </c>
      <c r="N95" s="193" t="s">
        <v>64</v>
      </c>
      <c r="O95" s="193" t="s">
        <v>64</v>
      </c>
      <c r="P95" s="199"/>
      <c r="Q95" s="199"/>
      <c r="R95" s="199"/>
      <c r="S95" s="164"/>
      <c r="T95" s="164"/>
      <c r="U95" s="164"/>
      <c r="V95" s="164"/>
      <c r="W95" s="164"/>
      <c r="X95" s="164"/>
      <c r="Y95" s="164"/>
      <c r="Z95" s="164"/>
      <c r="AA95" s="164"/>
      <c r="AB95" s="170"/>
      <c r="AC95" s="170"/>
      <c r="AD95" s="170"/>
    </row>
    <row r="96">
      <c r="A96" s="164"/>
      <c r="B96" s="186">
        <f t="shared" si="1"/>
        <v>92</v>
      </c>
      <c r="C96" s="195"/>
      <c r="D96" s="195"/>
      <c r="E96" s="196"/>
      <c r="F96" s="202"/>
      <c r="G96" s="198" t="s">
        <v>227</v>
      </c>
      <c r="H96" s="191" t="s">
        <v>250</v>
      </c>
      <c r="I96" s="192" t="s">
        <v>250</v>
      </c>
      <c r="J96" s="199"/>
      <c r="K96" s="192"/>
      <c r="L96" s="193" t="s">
        <v>64</v>
      </c>
      <c r="M96" s="193" t="s">
        <v>64</v>
      </c>
      <c r="N96" s="193" t="s">
        <v>64</v>
      </c>
      <c r="O96" s="193" t="s">
        <v>64</v>
      </c>
      <c r="P96" s="199"/>
      <c r="Q96" s="199"/>
      <c r="R96" s="199"/>
      <c r="S96" s="164"/>
      <c r="T96" s="164"/>
      <c r="U96" s="164"/>
      <c r="V96" s="164"/>
      <c r="W96" s="164"/>
      <c r="X96" s="164"/>
      <c r="Y96" s="164"/>
      <c r="Z96" s="164"/>
      <c r="AA96" s="164"/>
      <c r="AB96" s="170"/>
      <c r="AC96" s="170"/>
      <c r="AD96" s="170"/>
    </row>
    <row r="97">
      <c r="A97" s="164"/>
      <c r="B97" s="186">
        <f t="shared" si="1"/>
        <v>93</v>
      </c>
      <c r="C97" s="195"/>
      <c r="D97" s="195"/>
      <c r="E97" s="197"/>
      <c r="F97" s="209" t="s">
        <v>170</v>
      </c>
      <c r="G97" s="201" t="s">
        <v>171</v>
      </c>
      <c r="H97" s="191" t="s">
        <v>250</v>
      </c>
      <c r="I97" s="192" t="s">
        <v>314</v>
      </c>
      <c r="J97" s="199"/>
      <c r="K97" s="192"/>
      <c r="L97" s="193" t="s">
        <v>64</v>
      </c>
      <c r="M97" s="193" t="s">
        <v>64</v>
      </c>
      <c r="N97" s="193" t="s">
        <v>64</v>
      </c>
      <c r="O97" s="193" t="s">
        <v>64</v>
      </c>
      <c r="P97" s="199"/>
      <c r="Q97" s="199"/>
      <c r="R97" s="199"/>
      <c r="S97" s="164"/>
      <c r="T97" s="164"/>
      <c r="U97" s="164"/>
      <c r="V97" s="164"/>
      <c r="W97" s="164"/>
      <c r="X97" s="164"/>
      <c r="Y97" s="164"/>
      <c r="Z97" s="164"/>
      <c r="AA97" s="164"/>
      <c r="AB97" s="170"/>
      <c r="AC97" s="170"/>
      <c r="AD97" s="170"/>
    </row>
    <row r="98">
      <c r="A98" s="164"/>
      <c r="B98" s="186">
        <f t="shared" si="1"/>
        <v>94</v>
      </c>
      <c r="C98" s="195"/>
      <c r="D98" s="195"/>
      <c r="E98" s="197"/>
      <c r="F98" s="207" t="s">
        <v>172</v>
      </c>
      <c r="G98" s="201" t="s">
        <v>173</v>
      </c>
      <c r="H98" s="191" t="s">
        <v>315</v>
      </c>
      <c r="I98" s="192" t="s">
        <v>316</v>
      </c>
      <c r="J98" s="199"/>
      <c r="K98" s="192"/>
      <c r="L98" s="193" t="s">
        <v>64</v>
      </c>
      <c r="M98" s="193" t="s">
        <v>64</v>
      </c>
      <c r="N98" s="193" t="s">
        <v>64</v>
      </c>
      <c r="O98" s="193" t="s">
        <v>64</v>
      </c>
      <c r="P98" s="199"/>
      <c r="Q98" s="199"/>
      <c r="R98" s="199"/>
      <c r="S98" s="164"/>
      <c r="T98" s="164"/>
      <c r="U98" s="164"/>
      <c r="V98" s="164"/>
      <c r="W98" s="164"/>
      <c r="X98" s="164"/>
      <c r="Y98" s="164"/>
      <c r="Z98" s="164"/>
      <c r="AA98" s="164"/>
      <c r="AB98" s="170"/>
      <c r="AC98" s="170"/>
      <c r="AD98" s="170"/>
    </row>
    <row r="99">
      <c r="A99" s="164"/>
      <c r="B99" s="186">
        <f t="shared" si="1"/>
        <v>95</v>
      </c>
      <c r="C99" s="195"/>
      <c r="D99" s="195"/>
      <c r="E99" s="197"/>
      <c r="F99" s="207" t="s">
        <v>174</v>
      </c>
      <c r="G99" s="206" t="s">
        <v>173</v>
      </c>
      <c r="H99" s="191" t="s">
        <v>250</v>
      </c>
      <c r="I99" s="191" t="s">
        <v>250</v>
      </c>
      <c r="J99" s="199"/>
      <c r="K99" s="192"/>
      <c r="L99" s="193" t="s">
        <v>64</v>
      </c>
      <c r="M99" s="193" t="s">
        <v>64</v>
      </c>
      <c r="N99" s="193" t="s">
        <v>64</v>
      </c>
      <c r="O99" s="193" t="s">
        <v>64</v>
      </c>
      <c r="P99" s="199"/>
      <c r="Q99" s="199"/>
      <c r="R99" s="199"/>
      <c r="S99" s="164"/>
      <c r="T99" s="164"/>
      <c r="U99" s="164"/>
      <c r="V99" s="164"/>
      <c r="W99" s="164"/>
      <c r="X99" s="164"/>
      <c r="Y99" s="164"/>
      <c r="Z99" s="164"/>
      <c r="AA99" s="164"/>
      <c r="AB99" s="170"/>
      <c r="AC99" s="170"/>
      <c r="AD99" s="170"/>
    </row>
    <row r="100">
      <c r="A100" s="164"/>
      <c r="B100" s="186">
        <f t="shared" si="1"/>
        <v>96</v>
      </c>
      <c r="C100" s="195"/>
      <c r="D100" s="195"/>
      <c r="E100" s="197"/>
      <c r="F100" s="207" t="s">
        <v>333</v>
      </c>
      <c r="G100" s="206" t="s">
        <v>42</v>
      </c>
      <c r="H100" s="191" t="s">
        <v>308</v>
      </c>
      <c r="I100" s="192" t="s">
        <v>334</v>
      </c>
      <c r="J100" s="192" t="s">
        <v>335</v>
      </c>
      <c r="K100" s="192"/>
      <c r="L100" s="193" t="s">
        <v>72</v>
      </c>
      <c r="M100" s="193" t="s">
        <v>64</v>
      </c>
      <c r="N100" s="193" t="s">
        <v>64</v>
      </c>
      <c r="O100" s="193" t="s">
        <v>64</v>
      </c>
      <c r="P100" s="199"/>
      <c r="Q100" s="192" t="s">
        <v>336</v>
      </c>
      <c r="R100" s="199"/>
      <c r="S100" s="164"/>
      <c r="T100" s="164"/>
      <c r="U100" s="164"/>
      <c r="V100" s="164"/>
      <c r="W100" s="164"/>
      <c r="X100" s="164"/>
      <c r="Y100" s="164"/>
      <c r="Z100" s="164"/>
      <c r="AA100" s="164"/>
      <c r="AB100" s="170"/>
      <c r="AC100" s="170"/>
      <c r="AD100" s="170"/>
    </row>
    <row r="101">
      <c r="A101" s="164"/>
      <c r="B101" s="186">
        <f t="shared" si="1"/>
        <v>97</v>
      </c>
      <c r="C101" s="195"/>
      <c r="D101" s="195"/>
      <c r="E101" s="197"/>
      <c r="F101" s="207" t="s">
        <v>175</v>
      </c>
      <c r="G101" s="206" t="s">
        <v>42</v>
      </c>
      <c r="H101" s="191" t="s">
        <v>318</v>
      </c>
      <c r="I101" s="192" t="s">
        <v>337</v>
      </c>
      <c r="J101" s="199"/>
      <c r="K101" s="192"/>
      <c r="L101" s="193" t="s">
        <v>66</v>
      </c>
      <c r="M101" s="193" t="s">
        <v>64</v>
      </c>
      <c r="N101" s="193" t="s">
        <v>64</v>
      </c>
      <c r="O101" s="193" t="s">
        <v>64</v>
      </c>
      <c r="P101" s="199"/>
      <c r="Q101" s="199"/>
      <c r="R101" s="199"/>
      <c r="S101" s="164"/>
      <c r="T101" s="164"/>
      <c r="U101" s="164"/>
      <c r="V101" s="164"/>
      <c r="W101" s="164"/>
      <c r="X101" s="164"/>
      <c r="Y101" s="164"/>
      <c r="Z101" s="164"/>
      <c r="AA101" s="164"/>
      <c r="AB101" s="170"/>
      <c r="AC101" s="170"/>
      <c r="AD101" s="170"/>
    </row>
    <row r="102">
      <c r="A102" s="164"/>
      <c r="B102" s="186">
        <f t="shared" si="1"/>
        <v>98</v>
      </c>
      <c r="C102" s="195"/>
      <c r="D102" s="195"/>
      <c r="E102" s="197"/>
      <c r="F102" s="223" t="s">
        <v>185</v>
      </c>
      <c r="G102" s="206" t="s">
        <v>186</v>
      </c>
      <c r="H102" s="191" t="s">
        <v>321</v>
      </c>
      <c r="I102" s="192" t="s">
        <v>322</v>
      </c>
      <c r="J102" s="199"/>
      <c r="K102" s="192"/>
      <c r="L102" s="193" t="s">
        <v>64</v>
      </c>
      <c r="M102" s="193" t="s">
        <v>64</v>
      </c>
      <c r="N102" s="193" t="s">
        <v>64</v>
      </c>
      <c r="O102" s="193" t="s">
        <v>64</v>
      </c>
      <c r="P102" s="199"/>
      <c r="Q102" s="199"/>
      <c r="R102" s="199"/>
      <c r="S102" s="164"/>
      <c r="T102" s="164"/>
      <c r="U102" s="164"/>
      <c r="V102" s="164"/>
      <c r="W102" s="164"/>
      <c r="X102" s="164"/>
      <c r="Y102" s="164"/>
      <c r="Z102" s="164"/>
      <c r="AA102" s="164"/>
      <c r="AB102" s="170"/>
      <c r="AC102" s="170"/>
      <c r="AD102" s="170"/>
    </row>
    <row r="103">
      <c r="A103" s="164"/>
      <c r="B103" s="222">
        <f t="shared" si="1"/>
        <v>99</v>
      </c>
      <c r="C103" s="203"/>
      <c r="D103" s="204"/>
      <c r="E103" s="196"/>
      <c r="F103" s="189" t="s">
        <v>259</v>
      </c>
      <c r="G103" s="190"/>
      <c r="H103" s="191" t="s">
        <v>338</v>
      </c>
      <c r="I103" s="192" t="s">
        <v>261</v>
      </c>
      <c r="J103" s="192" t="s">
        <v>324</v>
      </c>
      <c r="K103" s="192"/>
      <c r="L103" s="193" t="s">
        <v>64</v>
      </c>
      <c r="M103" s="193"/>
      <c r="N103" s="193"/>
      <c r="O103" s="193"/>
      <c r="P103" s="199"/>
      <c r="Q103" s="199"/>
      <c r="R103" s="199"/>
      <c r="S103" s="164"/>
      <c r="T103" s="164"/>
      <c r="U103" s="164"/>
      <c r="V103" s="164"/>
      <c r="W103" s="164"/>
      <c r="X103" s="164"/>
      <c r="Y103" s="164"/>
      <c r="Z103" s="164"/>
      <c r="AA103" s="164"/>
      <c r="AB103" s="170"/>
      <c r="AC103" s="170"/>
      <c r="AD103" s="170"/>
    </row>
    <row r="104">
      <c r="A104" s="164"/>
      <c r="B104" s="222">
        <f t="shared" si="1"/>
        <v>100</v>
      </c>
      <c r="C104" s="203"/>
      <c r="D104" s="204"/>
      <c r="E104" s="196"/>
      <c r="F104" s="197"/>
      <c r="G104" s="190"/>
      <c r="H104" s="191" t="s">
        <v>325</v>
      </c>
      <c r="I104" s="192" t="s">
        <v>265</v>
      </c>
      <c r="J104" s="192" t="s">
        <v>324</v>
      </c>
      <c r="K104" s="192"/>
      <c r="L104" s="193" t="s">
        <v>64</v>
      </c>
      <c r="M104" s="193"/>
      <c r="N104" s="193"/>
      <c r="O104" s="193"/>
      <c r="P104" s="199"/>
      <c r="Q104" s="199"/>
      <c r="R104" s="199"/>
      <c r="S104" s="164"/>
      <c r="T104" s="164"/>
      <c r="U104" s="164"/>
      <c r="V104" s="164"/>
      <c r="W104" s="164"/>
      <c r="X104" s="164"/>
      <c r="Y104" s="164"/>
      <c r="Z104" s="164"/>
      <c r="AA104" s="164"/>
      <c r="AB104" s="170"/>
      <c r="AC104" s="170"/>
      <c r="AD104" s="170"/>
    </row>
    <row r="105">
      <c r="A105" s="164"/>
      <c r="B105" s="222">
        <f t="shared" si="1"/>
        <v>101</v>
      </c>
      <c r="C105" s="203"/>
      <c r="D105" s="204"/>
      <c r="E105" s="196"/>
      <c r="F105" s="197"/>
      <c r="G105" s="190"/>
      <c r="H105" s="191" t="s">
        <v>339</v>
      </c>
      <c r="I105" s="192" t="s">
        <v>263</v>
      </c>
      <c r="J105" s="192" t="s">
        <v>324</v>
      </c>
      <c r="K105" s="192"/>
      <c r="L105" s="193" t="s">
        <v>64</v>
      </c>
      <c r="M105" s="193"/>
      <c r="N105" s="193"/>
      <c r="O105" s="193"/>
      <c r="P105" s="199"/>
      <c r="Q105" s="199"/>
      <c r="R105" s="199"/>
      <c r="S105" s="164"/>
      <c r="T105" s="164"/>
      <c r="U105" s="164"/>
      <c r="V105" s="164"/>
      <c r="W105" s="164"/>
      <c r="X105" s="164"/>
      <c r="Y105" s="164"/>
      <c r="Z105" s="164"/>
      <c r="AA105" s="164"/>
      <c r="AB105" s="170"/>
      <c r="AC105" s="170"/>
      <c r="AD105" s="170"/>
    </row>
    <row r="106">
      <c r="A106" s="164"/>
      <c r="B106" s="222">
        <f t="shared" si="1"/>
        <v>102</v>
      </c>
      <c r="C106" s="203"/>
      <c r="D106" s="204"/>
      <c r="E106" s="196"/>
      <c r="F106" s="197"/>
      <c r="G106" s="190"/>
      <c r="H106" s="191" t="s">
        <v>340</v>
      </c>
      <c r="I106" s="192" t="s">
        <v>261</v>
      </c>
      <c r="J106" s="192" t="s">
        <v>324</v>
      </c>
      <c r="K106" s="192"/>
      <c r="L106" s="193" t="s">
        <v>64</v>
      </c>
      <c r="M106" s="193"/>
      <c r="N106" s="193"/>
      <c r="O106" s="193"/>
      <c r="P106" s="199"/>
      <c r="Q106" s="199"/>
      <c r="R106" s="199"/>
      <c r="S106" s="164"/>
      <c r="T106" s="164"/>
      <c r="U106" s="164"/>
      <c r="V106" s="164"/>
      <c r="W106" s="164"/>
      <c r="X106" s="164"/>
      <c r="Y106" s="164"/>
      <c r="Z106" s="164"/>
      <c r="AA106" s="164"/>
      <c r="AB106" s="170"/>
      <c r="AC106" s="170"/>
      <c r="AD106" s="170"/>
    </row>
    <row r="107">
      <c r="A107" s="164"/>
      <c r="B107" s="222">
        <f t="shared" si="1"/>
        <v>103</v>
      </c>
      <c r="C107" s="203"/>
      <c r="D107" s="204"/>
      <c r="E107" s="196"/>
      <c r="F107" s="197"/>
      <c r="G107" s="190"/>
      <c r="H107" s="191" t="s">
        <v>325</v>
      </c>
      <c r="I107" s="192" t="s">
        <v>265</v>
      </c>
      <c r="J107" s="192" t="s">
        <v>324</v>
      </c>
      <c r="K107" s="192"/>
      <c r="L107" s="193" t="s">
        <v>64</v>
      </c>
      <c r="M107" s="193"/>
      <c r="N107" s="193"/>
      <c r="O107" s="193"/>
      <c r="P107" s="199"/>
      <c r="Q107" s="199"/>
      <c r="R107" s="199"/>
      <c r="S107" s="164"/>
      <c r="T107" s="164"/>
      <c r="U107" s="164"/>
      <c r="V107" s="164"/>
      <c r="W107" s="164"/>
      <c r="X107" s="164"/>
      <c r="Y107" s="164"/>
      <c r="Z107" s="164"/>
      <c r="AA107" s="164"/>
      <c r="AB107" s="170"/>
      <c r="AC107" s="170"/>
      <c r="AD107" s="170"/>
    </row>
    <row r="108">
      <c r="A108" s="164"/>
      <c r="B108" s="222">
        <f t="shared" si="1"/>
        <v>104</v>
      </c>
      <c r="C108" s="203"/>
      <c r="D108" s="204"/>
      <c r="E108" s="196"/>
      <c r="F108" s="197"/>
      <c r="G108" s="190"/>
      <c r="H108" s="191" t="s">
        <v>341</v>
      </c>
      <c r="I108" s="192" t="s">
        <v>263</v>
      </c>
      <c r="J108" s="192" t="s">
        <v>324</v>
      </c>
      <c r="K108" s="192"/>
      <c r="L108" s="193" t="s">
        <v>64</v>
      </c>
      <c r="M108" s="193"/>
      <c r="N108" s="193"/>
      <c r="O108" s="193"/>
      <c r="P108" s="199"/>
      <c r="Q108" s="199"/>
      <c r="R108" s="199"/>
      <c r="S108" s="164"/>
      <c r="T108" s="164"/>
      <c r="U108" s="164"/>
      <c r="V108" s="164"/>
      <c r="W108" s="164"/>
      <c r="X108" s="164"/>
      <c r="Y108" s="164"/>
      <c r="Z108" s="164"/>
      <c r="AA108" s="164"/>
      <c r="AB108" s="170"/>
      <c r="AC108" s="170"/>
      <c r="AD108" s="170"/>
    </row>
    <row r="109">
      <c r="A109" s="164"/>
      <c r="B109" s="186">
        <f t="shared" si="1"/>
        <v>105</v>
      </c>
      <c r="C109" s="224" t="s">
        <v>198</v>
      </c>
      <c r="D109" s="224" t="s">
        <v>199</v>
      </c>
      <c r="E109" s="206" t="s">
        <v>200</v>
      </c>
      <c r="F109" s="223" t="s">
        <v>42</v>
      </c>
      <c r="G109" s="206" t="s">
        <v>42</v>
      </c>
      <c r="H109" s="191" t="s">
        <v>342</v>
      </c>
      <c r="I109" s="192" t="s">
        <v>343</v>
      </c>
      <c r="J109" s="199"/>
      <c r="K109" s="192"/>
      <c r="L109" s="193" t="s">
        <v>64</v>
      </c>
      <c r="M109" s="193" t="s">
        <v>64</v>
      </c>
      <c r="N109" s="193" t="s">
        <v>64</v>
      </c>
      <c r="O109" s="193" t="s">
        <v>64</v>
      </c>
      <c r="P109" s="199"/>
      <c r="Q109" s="199"/>
      <c r="R109" s="199"/>
      <c r="S109" s="164"/>
      <c r="T109" s="164"/>
      <c r="U109" s="164"/>
      <c r="V109" s="164"/>
      <c r="W109" s="164"/>
      <c r="X109" s="164"/>
      <c r="Y109" s="164"/>
      <c r="Z109" s="164"/>
      <c r="AA109" s="164"/>
      <c r="AB109" s="170"/>
      <c r="AC109" s="170"/>
      <c r="AD109" s="170"/>
    </row>
    <row r="110">
      <c r="A110" s="212"/>
      <c r="B110" s="212"/>
      <c r="C110" s="213"/>
      <c r="D110" s="213"/>
      <c r="E110" s="213"/>
      <c r="F110" s="213"/>
      <c r="G110" s="213"/>
      <c r="H110" s="214"/>
      <c r="I110" s="213"/>
      <c r="J110" s="213"/>
      <c r="K110" s="213"/>
      <c r="L110" s="213"/>
      <c r="M110" s="213"/>
      <c r="N110" s="213"/>
      <c r="O110" s="213"/>
      <c r="P110" s="213"/>
      <c r="Q110" s="213"/>
      <c r="R110" s="213"/>
      <c r="S110" s="212"/>
      <c r="T110" s="212"/>
      <c r="U110" s="212"/>
      <c r="V110" s="212"/>
      <c r="W110" s="212"/>
      <c r="X110" s="212"/>
      <c r="Y110" s="212"/>
      <c r="Z110" s="212"/>
      <c r="AA110" s="212"/>
      <c r="AB110" s="212"/>
      <c r="AC110" s="212"/>
      <c r="AD110" s="212"/>
    </row>
    <row r="111">
      <c r="A111" s="212"/>
      <c r="B111" s="212"/>
      <c r="C111" s="213"/>
      <c r="D111" s="213"/>
      <c r="E111" s="213"/>
      <c r="F111" s="213"/>
      <c r="G111" s="213"/>
      <c r="H111" s="214"/>
      <c r="I111" s="213"/>
      <c r="J111" s="213"/>
      <c r="K111" s="213"/>
      <c r="L111" s="213"/>
      <c r="M111" s="213"/>
      <c r="N111" s="213"/>
      <c r="O111" s="213"/>
      <c r="P111" s="213"/>
      <c r="Q111" s="213"/>
      <c r="R111" s="213"/>
      <c r="S111" s="212"/>
      <c r="T111" s="212"/>
      <c r="U111" s="212"/>
      <c r="V111" s="212"/>
      <c r="W111" s="212"/>
      <c r="X111" s="212"/>
      <c r="Y111" s="212"/>
      <c r="Z111" s="212"/>
      <c r="AA111" s="212"/>
      <c r="AB111" s="212"/>
      <c r="AC111" s="212"/>
      <c r="AD111" s="212"/>
      <c r="AE111" s="212"/>
    </row>
    <row r="112">
      <c r="A112" s="164"/>
      <c r="B112" s="164"/>
      <c r="C112" s="165"/>
      <c r="D112" s="165"/>
      <c r="E112" s="165"/>
      <c r="F112" s="165"/>
      <c r="G112" s="165"/>
      <c r="H112" s="166"/>
      <c r="I112" s="165"/>
      <c r="J112" s="165"/>
      <c r="K112" s="165"/>
      <c r="L112" s="165"/>
      <c r="M112" s="165"/>
      <c r="N112" s="165"/>
      <c r="O112" s="165"/>
      <c r="P112" s="165"/>
      <c r="Q112" s="165"/>
      <c r="R112" s="165"/>
      <c r="S112" s="164"/>
      <c r="T112" s="164"/>
      <c r="U112" s="164"/>
      <c r="V112" s="164"/>
      <c r="W112" s="164"/>
      <c r="X112" s="164"/>
      <c r="Y112" s="164"/>
      <c r="Z112" s="164"/>
      <c r="AA112" s="164"/>
      <c r="AB112" s="164"/>
      <c r="AC112" s="170"/>
      <c r="AD112" s="170"/>
      <c r="AE112" s="170"/>
    </row>
    <row r="113">
      <c r="A113" s="164"/>
      <c r="B113" s="164"/>
      <c r="C113" s="165"/>
      <c r="D113" s="165"/>
      <c r="E113" s="165"/>
      <c r="F113" s="165"/>
      <c r="G113" s="165"/>
      <c r="H113" s="166"/>
      <c r="I113" s="165"/>
      <c r="J113" s="165"/>
      <c r="K113" s="165"/>
      <c r="L113" s="165"/>
      <c r="M113" s="165"/>
      <c r="N113" s="165"/>
      <c r="O113" s="165"/>
      <c r="P113" s="165"/>
      <c r="Q113" s="165"/>
      <c r="R113" s="165"/>
      <c r="S113" s="164"/>
      <c r="T113" s="164"/>
      <c r="U113" s="164"/>
      <c r="V113" s="164"/>
      <c r="W113" s="164"/>
      <c r="X113" s="164"/>
      <c r="Y113" s="164"/>
      <c r="Z113" s="164"/>
      <c r="AA113" s="164"/>
      <c r="AB113" s="164"/>
      <c r="AC113" s="170"/>
      <c r="AD113" s="170"/>
      <c r="AE113" s="170"/>
    </row>
    <row r="114">
      <c r="A114" s="164"/>
      <c r="B114" s="164"/>
      <c r="C114" s="165"/>
      <c r="D114" s="165"/>
      <c r="E114" s="165"/>
      <c r="F114" s="165"/>
      <c r="G114" s="165"/>
      <c r="H114" s="166"/>
      <c r="I114" s="165"/>
      <c r="J114" s="165"/>
      <c r="K114" s="165"/>
      <c r="L114" s="165"/>
      <c r="M114" s="165"/>
      <c r="N114" s="165"/>
      <c r="O114" s="165"/>
      <c r="P114" s="165"/>
      <c r="Q114" s="165"/>
      <c r="R114" s="165"/>
      <c r="S114" s="164"/>
      <c r="T114" s="164"/>
      <c r="U114" s="164"/>
      <c r="V114" s="164"/>
      <c r="W114" s="164"/>
      <c r="X114" s="164"/>
      <c r="Y114" s="164"/>
      <c r="Z114" s="164"/>
      <c r="AA114" s="164"/>
      <c r="AB114" s="164"/>
      <c r="AC114" s="170"/>
      <c r="AD114" s="170"/>
      <c r="AE114" s="170"/>
    </row>
    <row r="115">
      <c r="A115" s="164"/>
      <c r="B115" s="164"/>
      <c r="C115" s="165"/>
      <c r="D115" s="165"/>
      <c r="E115" s="165"/>
      <c r="F115" s="165"/>
      <c r="G115" s="165"/>
      <c r="H115" s="166"/>
      <c r="I115" s="165"/>
      <c r="J115" s="165"/>
      <c r="K115" s="165"/>
      <c r="L115" s="165"/>
      <c r="M115" s="165"/>
      <c r="N115" s="165"/>
      <c r="O115" s="165"/>
      <c r="P115" s="165"/>
      <c r="Q115" s="165"/>
      <c r="R115" s="165"/>
      <c r="S115" s="164"/>
      <c r="T115" s="164"/>
      <c r="U115" s="164"/>
      <c r="V115" s="164"/>
      <c r="W115" s="164"/>
      <c r="X115" s="164"/>
      <c r="Y115" s="164"/>
      <c r="Z115" s="164"/>
      <c r="AA115" s="164"/>
      <c r="AB115" s="164"/>
      <c r="AC115" s="170"/>
      <c r="AD115" s="170"/>
      <c r="AE115" s="170"/>
    </row>
    <row r="116">
      <c r="A116" s="164"/>
      <c r="B116" s="164"/>
      <c r="C116" s="165"/>
      <c r="D116" s="165"/>
      <c r="E116" s="165"/>
      <c r="F116" s="165"/>
      <c r="G116" s="165"/>
      <c r="H116" s="166"/>
      <c r="I116" s="165"/>
      <c r="J116" s="165"/>
      <c r="K116" s="165"/>
      <c r="L116" s="165"/>
      <c r="M116" s="165"/>
      <c r="N116" s="165"/>
      <c r="O116" s="165"/>
      <c r="P116" s="165"/>
      <c r="Q116" s="165"/>
      <c r="R116" s="165"/>
      <c r="S116" s="164"/>
      <c r="T116" s="164"/>
      <c r="U116" s="164"/>
      <c r="V116" s="164"/>
      <c r="W116" s="164"/>
      <c r="X116" s="164"/>
      <c r="Y116" s="164"/>
      <c r="Z116" s="164"/>
      <c r="AA116" s="164"/>
      <c r="AB116" s="164"/>
      <c r="AC116" s="170"/>
      <c r="AD116" s="170"/>
      <c r="AE116" s="170"/>
    </row>
    <row r="117">
      <c r="A117" s="164"/>
      <c r="B117" s="164"/>
      <c r="C117" s="165"/>
      <c r="D117" s="165"/>
      <c r="E117" s="165"/>
      <c r="F117" s="165"/>
      <c r="G117" s="165"/>
      <c r="H117" s="166"/>
      <c r="I117" s="165"/>
      <c r="J117" s="165"/>
      <c r="K117" s="165"/>
      <c r="L117" s="165"/>
      <c r="M117" s="165"/>
      <c r="N117" s="165"/>
      <c r="O117" s="165"/>
      <c r="P117" s="165"/>
      <c r="Q117" s="165"/>
      <c r="R117" s="165"/>
      <c r="S117" s="164"/>
      <c r="T117" s="164"/>
      <c r="U117" s="164"/>
      <c r="V117" s="164"/>
      <c r="W117" s="164"/>
      <c r="X117" s="164"/>
      <c r="Y117" s="164"/>
      <c r="Z117" s="164"/>
      <c r="AA117" s="164"/>
      <c r="AB117" s="164"/>
      <c r="AC117" s="170"/>
      <c r="AD117" s="170"/>
      <c r="AE117" s="170"/>
    </row>
    <row r="118">
      <c r="A118" s="170"/>
      <c r="B118" s="215"/>
      <c r="C118" s="170"/>
      <c r="D118" s="170"/>
      <c r="E118" s="170"/>
      <c r="F118" s="170"/>
      <c r="G118" s="170"/>
      <c r="H118" s="216"/>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row>
    <row r="119">
      <c r="A119" s="170"/>
      <c r="B119" s="215"/>
      <c r="C119" s="170"/>
      <c r="D119" s="170"/>
      <c r="E119" s="170"/>
      <c r="F119" s="170"/>
      <c r="G119" s="170"/>
      <c r="H119" s="216"/>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row>
    <row r="120">
      <c r="A120" s="170"/>
      <c r="B120" s="215"/>
      <c r="C120" s="170"/>
      <c r="D120" s="170"/>
      <c r="E120" s="170"/>
      <c r="F120" s="170"/>
      <c r="G120" s="170"/>
      <c r="H120" s="216"/>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row>
    <row r="121">
      <c r="A121" s="170"/>
      <c r="B121" s="215"/>
      <c r="C121" s="170"/>
      <c r="D121" s="170"/>
      <c r="E121" s="170"/>
      <c r="F121" s="170"/>
      <c r="G121" s="170"/>
      <c r="H121" s="216"/>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row>
    <row r="122">
      <c r="A122" s="170"/>
      <c r="B122" s="215"/>
      <c r="C122" s="170"/>
      <c r="D122" s="170"/>
      <c r="E122" s="170"/>
      <c r="F122" s="170"/>
      <c r="G122" s="170"/>
      <c r="H122" s="216"/>
      <c r="I122" s="170"/>
      <c r="J122" s="170"/>
      <c r="K122" s="170"/>
      <c r="L122" s="170"/>
      <c r="M122" s="170"/>
      <c r="N122" s="170"/>
      <c r="O122" s="170"/>
      <c r="P122" s="170"/>
      <c r="Q122" s="170"/>
      <c r="R122" s="170"/>
      <c r="S122" s="170"/>
      <c r="T122" s="170"/>
      <c r="U122" s="170"/>
      <c r="V122" s="170"/>
      <c r="W122" s="170"/>
      <c r="X122" s="170"/>
      <c r="Y122" s="170"/>
      <c r="Z122" s="170"/>
      <c r="AA122" s="170"/>
      <c r="AB122" s="170"/>
      <c r="AC122" s="170"/>
      <c r="AD122" s="170"/>
      <c r="AE122" s="170"/>
    </row>
    <row r="123">
      <c r="A123" s="170"/>
      <c r="B123" s="215"/>
      <c r="C123" s="170"/>
      <c r="D123" s="170"/>
      <c r="E123" s="170"/>
      <c r="F123" s="170"/>
      <c r="G123" s="170"/>
      <c r="H123" s="216"/>
      <c r="I123" s="170"/>
      <c r="J123" s="170"/>
      <c r="K123" s="170"/>
      <c r="L123" s="170"/>
      <c r="M123" s="170"/>
      <c r="N123" s="170"/>
      <c r="O123" s="170"/>
      <c r="P123" s="170"/>
      <c r="Q123" s="170"/>
      <c r="R123" s="170"/>
      <c r="S123" s="170"/>
      <c r="T123" s="170"/>
      <c r="U123" s="170"/>
      <c r="V123" s="170"/>
      <c r="W123" s="170"/>
      <c r="X123" s="170"/>
      <c r="Y123" s="170"/>
      <c r="Z123" s="170"/>
      <c r="AA123" s="170"/>
      <c r="AB123" s="170"/>
      <c r="AC123" s="170"/>
      <c r="AD123" s="170"/>
      <c r="AE123" s="170"/>
    </row>
    <row r="124">
      <c r="A124" s="170"/>
      <c r="B124" s="215"/>
      <c r="C124" s="170"/>
      <c r="D124" s="170"/>
      <c r="E124" s="170"/>
      <c r="F124" s="170"/>
      <c r="G124" s="170"/>
      <c r="H124" s="216"/>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row>
    <row r="125">
      <c r="A125" s="170"/>
      <c r="B125" s="215"/>
      <c r="C125" s="170"/>
      <c r="D125" s="170"/>
      <c r="E125" s="170"/>
      <c r="F125" s="170"/>
      <c r="G125" s="170"/>
      <c r="H125" s="216"/>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row>
    <row r="126">
      <c r="A126" s="170"/>
      <c r="B126" s="215"/>
      <c r="C126" s="170"/>
      <c r="D126" s="170"/>
      <c r="E126" s="170"/>
      <c r="F126" s="170"/>
      <c r="G126" s="170"/>
      <c r="H126" s="216"/>
      <c r="I126" s="170"/>
      <c r="J126" s="170"/>
      <c r="K126" s="170"/>
      <c r="L126" s="170"/>
      <c r="M126" s="170"/>
      <c r="N126" s="170"/>
      <c r="O126" s="170"/>
      <c r="P126" s="170"/>
      <c r="Q126" s="170"/>
      <c r="R126" s="170"/>
      <c r="S126" s="170"/>
      <c r="T126" s="170"/>
      <c r="U126" s="170"/>
      <c r="V126" s="170"/>
      <c r="W126" s="170"/>
      <c r="X126" s="170"/>
      <c r="Y126" s="170"/>
      <c r="Z126" s="170"/>
      <c r="AA126" s="170"/>
      <c r="AB126" s="170"/>
      <c r="AC126" s="170"/>
      <c r="AD126" s="170"/>
      <c r="AE126" s="170"/>
    </row>
    <row r="127">
      <c r="A127" s="170"/>
      <c r="B127" s="215"/>
      <c r="C127" s="170"/>
      <c r="D127" s="170"/>
      <c r="E127" s="170"/>
      <c r="F127" s="170"/>
      <c r="G127" s="170"/>
      <c r="H127" s="216"/>
      <c r="I127" s="170"/>
      <c r="J127" s="170"/>
      <c r="K127" s="170"/>
      <c r="L127" s="170"/>
      <c r="M127" s="170"/>
      <c r="N127" s="170"/>
      <c r="O127" s="170"/>
      <c r="P127" s="170"/>
      <c r="Q127" s="170"/>
      <c r="R127" s="170"/>
      <c r="S127" s="170"/>
      <c r="T127" s="170"/>
      <c r="U127" s="170"/>
      <c r="V127" s="170"/>
      <c r="W127" s="170"/>
      <c r="X127" s="170"/>
      <c r="Y127" s="170"/>
      <c r="Z127" s="170"/>
      <c r="AA127" s="170"/>
      <c r="AB127" s="170"/>
      <c r="AC127" s="170"/>
      <c r="AD127" s="170"/>
      <c r="AE127" s="170"/>
    </row>
    <row r="128">
      <c r="A128" s="170"/>
      <c r="B128" s="215"/>
      <c r="C128" s="170"/>
      <c r="D128" s="170"/>
      <c r="E128" s="170"/>
      <c r="F128" s="170"/>
      <c r="G128" s="170"/>
      <c r="H128" s="216"/>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row>
    <row r="129">
      <c r="A129" s="170"/>
      <c r="B129" s="215"/>
      <c r="C129" s="170"/>
      <c r="D129" s="170"/>
      <c r="E129" s="170"/>
      <c r="F129" s="170"/>
      <c r="G129" s="170"/>
      <c r="H129" s="216"/>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row>
  </sheetData>
  <dataValidations>
    <dataValidation type="list" allowBlank="1" sqref="L5:O109">
      <formula1>"未,OK,NG,Block,保,外,-,Autify実行"</formula1>
    </dataValidation>
    <dataValidation type="list" allowBlank="1" showErrorMessage="1" sqref="K5:K109">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25"/>
      <c r="C1" s="225"/>
      <c r="D1" s="225"/>
    </row>
    <row r="2">
      <c r="B2" s="226" t="s">
        <v>344</v>
      </c>
      <c r="C2" s="225"/>
      <c r="D2" s="225"/>
      <c r="O2" s="227"/>
    </row>
    <row r="3">
      <c r="B3" s="225"/>
      <c r="C3" s="225"/>
      <c r="D3" s="225"/>
      <c r="O3" s="228" t="s">
        <v>345</v>
      </c>
      <c r="P3" s="229" t="s">
        <v>346</v>
      </c>
      <c r="R3" s="229" t="s">
        <v>347</v>
      </c>
      <c r="S3" s="229" t="s">
        <v>348</v>
      </c>
    </row>
    <row r="4">
      <c r="B4" s="225"/>
      <c r="C4" s="225"/>
      <c r="D4" s="225"/>
      <c r="E4" s="230" t="s">
        <v>64</v>
      </c>
      <c r="F4" s="230" t="s">
        <v>68</v>
      </c>
      <c r="G4" s="230" t="s">
        <v>72</v>
      </c>
      <c r="H4" s="230" t="s">
        <v>70</v>
      </c>
      <c r="I4" s="230" t="s">
        <v>66</v>
      </c>
      <c r="J4" s="230" t="s">
        <v>77</v>
      </c>
      <c r="K4" s="230" t="s">
        <v>74</v>
      </c>
      <c r="L4" s="230" t="s">
        <v>42</v>
      </c>
      <c r="O4" s="231">
        <f>SUM(E13:H14)</f>
        <v>0</v>
      </c>
      <c r="P4" s="232">
        <f>SUM(E14:K14)</f>
        <v>42</v>
      </c>
      <c r="R4" s="233"/>
      <c r="S4" s="234">
        <f>R4/P4</f>
        <v>0</v>
      </c>
    </row>
    <row r="5">
      <c r="B5" s="235" t="s">
        <v>349</v>
      </c>
      <c r="C5" s="236" t="s">
        <v>233</v>
      </c>
      <c r="D5" s="237" t="s">
        <v>42</v>
      </c>
      <c r="E5" s="238">
        <f>countif('テストケース'!$K:$K,E4)</f>
        <v>0</v>
      </c>
      <c r="F5" s="238">
        <f>countif('テストケース'!$K:$K,F4)</f>
        <v>0</v>
      </c>
      <c r="G5" s="238">
        <f>countif('テストケース'!$K:$K,G4)</f>
        <v>0</v>
      </c>
      <c r="H5" s="238">
        <f>countif('テストケース'!$K:$K,H4)</f>
        <v>0</v>
      </c>
      <c r="I5" s="238">
        <f>countif('テストケース'!$K:$K,I4)</f>
        <v>33</v>
      </c>
      <c r="J5" s="238">
        <f>countif('テストケース'!$K:$K,J4)</f>
        <v>0</v>
      </c>
      <c r="K5" s="238">
        <f>countif('テストケース'!$K:$K,K4)</f>
        <v>0</v>
      </c>
      <c r="L5" s="238">
        <f>countif('テストケース'!$K:$K,L4)</f>
        <v>11</v>
      </c>
      <c r="R5" s="239"/>
      <c r="S5" s="239" t="s">
        <v>350</v>
      </c>
    </row>
    <row r="6">
      <c r="B6" s="240"/>
      <c r="C6" s="241" t="s">
        <v>304</v>
      </c>
      <c r="D6" s="237" t="s">
        <v>42</v>
      </c>
      <c r="E6" s="238">
        <f t="shared" ref="E6:L6" si="1">COUNTIF(#REF!,E4)</f>
        <v>0</v>
      </c>
      <c r="F6" s="238">
        <f t="shared" si="1"/>
        <v>0</v>
      </c>
      <c r="G6" s="238">
        <f t="shared" si="1"/>
        <v>0</v>
      </c>
      <c r="H6" s="238">
        <f t="shared" si="1"/>
        <v>0</v>
      </c>
      <c r="I6" s="238">
        <f t="shared" si="1"/>
        <v>0</v>
      </c>
      <c r="J6" s="238">
        <f t="shared" si="1"/>
        <v>0</v>
      </c>
      <c r="K6" s="238">
        <f t="shared" si="1"/>
        <v>0</v>
      </c>
      <c r="L6" s="238">
        <f t="shared" si="1"/>
        <v>0</v>
      </c>
    </row>
    <row r="7">
      <c r="B7" s="240"/>
      <c r="C7" s="241" t="s">
        <v>305</v>
      </c>
      <c r="D7" s="241" t="s">
        <v>42</v>
      </c>
      <c r="E7" s="238">
        <f t="shared" ref="E7:L7" si="2">COUNTIF(#REF!,E4)</f>
        <v>0</v>
      </c>
      <c r="F7" s="238">
        <f t="shared" si="2"/>
        <v>0</v>
      </c>
      <c r="G7" s="238">
        <f t="shared" si="2"/>
        <v>0</v>
      </c>
      <c r="H7" s="238">
        <f t="shared" si="2"/>
        <v>0</v>
      </c>
      <c r="I7" s="238">
        <f t="shared" si="2"/>
        <v>0</v>
      </c>
      <c r="J7" s="238">
        <f t="shared" si="2"/>
        <v>0</v>
      </c>
      <c r="K7" s="238">
        <f t="shared" si="2"/>
        <v>0</v>
      </c>
      <c r="L7" s="238">
        <f t="shared" si="2"/>
        <v>0</v>
      </c>
    </row>
    <row r="8">
      <c r="B8" s="240"/>
      <c r="C8" s="241" t="s">
        <v>351</v>
      </c>
      <c r="D8" s="241" t="s">
        <v>42</v>
      </c>
      <c r="E8" s="238">
        <f>countif('テストケース'!$L:$L,E4)</f>
        <v>0</v>
      </c>
      <c r="F8" s="238">
        <f>countif('テストケース'!$L:$L,F4)</f>
        <v>0</v>
      </c>
      <c r="G8" s="238">
        <f>countif('テストケース'!$L:$L,G4)</f>
        <v>0</v>
      </c>
      <c r="H8" s="238">
        <f>countif('テストケース'!$L:$L,H4)</f>
        <v>0</v>
      </c>
      <c r="I8" s="238">
        <f>countif('テストケース'!$L:$L,I4)</f>
        <v>9</v>
      </c>
      <c r="J8" s="238">
        <f>countif('テストケース'!$L:$L,J4)</f>
        <v>0</v>
      </c>
      <c r="K8" s="238">
        <f>countif('テストケース'!$L:$L,K4)</f>
        <v>0</v>
      </c>
      <c r="L8" s="238">
        <f>countif('テストケース'!$L:$L,L4)</f>
        <v>43</v>
      </c>
    </row>
    <row r="9">
      <c r="B9" s="240"/>
      <c r="C9" s="242"/>
      <c r="D9" s="242"/>
      <c r="E9" s="243">
        <f t="shared" ref="E9:L9" si="3">COUNTIF(#REF!,E4)</f>
        <v>0</v>
      </c>
      <c r="F9" s="243">
        <f t="shared" si="3"/>
        <v>0</v>
      </c>
      <c r="G9" s="243">
        <f t="shared" si="3"/>
        <v>0</v>
      </c>
      <c r="H9" s="243">
        <f t="shared" si="3"/>
        <v>0</v>
      </c>
      <c r="I9" s="243">
        <f t="shared" si="3"/>
        <v>0</v>
      </c>
      <c r="J9" s="243">
        <f t="shared" si="3"/>
        <v>0</v>
      </c>
      <c r="K9" s="243">
        <f t="shared" si="3"/>
        <v>0</v>
      </c>
      <c r="L9" s="243">
        <f t="shared" si="3"/>
        <v>0</v>
      </c>
    </row>
    <row r="10">
      <c r="B10" s="240"/>
      <c r="C10" s="242"/>
      <c r="D10" s="242"/>
      <c r="E10" s="243">
        <f t="shared" ref="E10:L10" si="4">COUNTIF(#REF!,E4)</f>
        <v>0</v>
      </c>
      <c r="F10" s="243">
        <f t="shared" si="4"/>
        <v>0</v>
      </c>
      <c r="G10" s="243">
        <f t="shared" si="4"/>
        <v>0</v>
      </c>
      <c r="H10" s="243">
        <f t="shared" si="4"/>
        <v>0</v>
      </c>
      <c r="I10" s="243">
        <f t="shared" si="4"/>
        <v>0</v>
      </c>
      <c r="J10" s="243">
        <f t="shared" si="4"/>
        <v>0</v>
      </c>
      <c r="K10" s="243">
        <f t="shared" si="4"/>
        <v>0</v>
      </c>
      <c r="L10" s="243">
        <f t="shared" si="4"/>
        <v>0</v>
      </c>
    </row>
    <row r="11">
      <c r="B11" s="244"/>
      <c r="C11" s="242"/>
      <c r="D11" s="242"/>
      <c r="E11" s="243">
        <f>COUNTIF('テストケース'!$M:$M,E4)</f>
        <v>0</v>
      </c>
      <c r="F11" s="243">
        <f>COUNTIF('テストケース'!$M:$M,F4)</f>
        <v>0</v>
      </c>
      <c r="G11" s="243">
        <f>COUNTIF('テストケース'!$M:$M,G4)</f>
        <v>0</v>
      </c>
      <c r="H11" s="243">
        <f>COUNTIF('テストケース'!$M:$M,H4)</f>
        <v>0</v>
      </c>
      <c r="I11" s="243">
        <f>COUNTIF('テストケース'!$M:$M,I4)</f>
        <v>0</v>
      </c>
      <c r="J11" s="243">
        <f>COUNTIF('テストケース'!$M:$M,J4)</f>
        <v>0</v>
      </c>
      <c r="K11" s="243">
        <f>COUNTIF('テストケース'!$M:$M,K4)</f>
        <v>0</v>
      </c>
      <c r="L11" s="243">
        <f>COUNTIF('テストケース'!$M:$M,L4)</f>
        <v>0</v>
      </c>
    </row>
    <row r="12" hidden="1">
      <c r="B12" s="245" t="s">
        <v>352</v>
      </c>
      <c r="C12" s="241" t="s">
        <v>233</v>
      </c>
      <c r="D12" s="237" t="s">
        <v>110</v>
      </c>
      <c r="E12" s="238" t="str">
        <f t="shared" ref="E12:L12" si="5">COUNTIF('テスト②'!$F:$N,E4)</f>
        <v>#REF!</v>
      </c>
      <c r="F12" s="238" t="str">
        <f t="shared" si="5"/>
        <v>#REF!</v>
      </c>
      <c r="G12" s="238" t="str">
        <f t="shared" si="5"/>
        <v>#REF!</v>
      </c>
      <c r="H12" s="238" t="str">
        <f t="shared" si="5"/>
        <v>#REF!</v>
      </c>
      <c r="I12" s="238" t="str">
        <f t="shared" si="5"/>
        <v>#REF!</v>
      </c>
      <c r="J12" s="238" t="str">
        <f t="shared" si="5"/>
        <v>#REF!</v>
      </c>
      <c r="K12" s="238" t="str">
        <f t="shared" si="5"/>
        <v>#REF!</v>
      </c>
      <c r="L12" s="238" t="str">
        <f t="shared" si="5"/>
        <v>#REF!</v>
      </c>
    </row>
    <row r="13" ht="6.75" customHeight="1">
      <c r="B13" s="225"/>
      <c r="C13" s="225"/>
      <c r="D13" s="225"/>
    </row>
    <row r="14">
      <c r="B14" s="225"/>
      <c r="C14" s="225"/>
      <c r="D14" s="246" t="s">
        <v>353</v>
      </c>
      <c r="E14" s="247">
        <f t="shared" ref="E14:L14" si="6">SUM(E5:E11)</f>
        <v>0</v>
      </c>
      <c r="F14" s="247">
        <f t="shared" si="6"/>
        <v>0</v>
      </c>
      <c r="G14" s="247">
        <f t="shared" si="6"/>
        <v>0</v>
      </c>
      <c r="H14" s="247">
        <f t="shared" si="6"/>
        <v>0</v>
      </c>
      <c r="I14" s="247">
        <f t="shared" si="6"/>
        <v>42</v>
      </c>
      <c r="J14" s="247">
        <f t="shared" si="6"/>
        <v>0</v>
      </c>
      <c r="K14" s="247">
        <f t="shared" si="6"/>
        <v>0</v>
      </c>
      <c r="L14" s="247">
        <f t="shared" si="6"/>
        <v>54</v>
      </c>
    </row>
    <row r="15">
      <c r="B15" s="225"/>
      <c r="C15" s="225"/>
      <c r="D15" s="225"/>
    </row>
    <row r="16">
      <c r="B16" s="225"/>
      <c r="C16" s="225"/>
      <c r="D16" s="225"/>
    </row>
    <row r="17">
      <c r="B17" s="226"/>
      <c r="C17" s="225"/>
      <c r="D17" s="225"/>
    </row>
    <row r="18">
      <c r="B18" s="225"/>
      <c r="C18" s="225"/>
      <c r="D18" s="225"/>
    </row>
    <row r="19">
      <c r="B19" s="225"/>
      <c r="C19" s="225"/>
      <c r="D19" s="225"/>
    </row>
    <row r="20">
      <c r="B20" s="225"/>
      <c r="C20" s="225"/>
      <c r="D20" s="225"/>
    </row>
    <row r="21">
      <c r="B21" s="225"/>
      <c r="C21" s="225"/>
      <c r="D21" s="225"/>
    </row>
    <row r="22">
      <c r="B22" s="225"/>
      <c r="C22" s="225"/>
      <c r="D22" s="225"/>
    </row>
    <row r="23">
      <c r="B23" s="225"/>
      <c r="C23" s="225"/>
      <c r="D23" s="225"/>
    </row>
    <row r="24">
      <c r="B24" s="225"/>
      <c r="C24" s="225"/>
      <c r="D24" s="225"/>
    </row>
    <row r="25">
      <c r="B25" s="225"/>
      <c r="C25" s="225"/>
      <c r="D25" s="225"/>
    </row>
    <row r="26">
      <c r="B26" s="225"/>
      <c r="C26" s="225"/>
      <c r="D26" s="225"/>
    </row>
    <row r="27">
      <c r="B27" s="225"/>
      <c r="C27" s="225"/>
      <c r="D27" s="225"/>
    </row>
    <row r="28">
      <c r="B28" s="225"/>
      <c r="C28" s="225"/>
      <c r="D28" s="225"/>
    </row>
    <row r="29">
      <c r="B29" s="225"/>
      <c r="C29" s="225"/>
      <c r="D29" s="225"/>
    </row>
    <row r="30">
      <c r="B30" s="225"/>
      <c r="C30" s="225"/>
      <c r="D30" s="225"/>
    </row>
    <row r="31">
      <c r="B31" s="225"/>
      <c r="C31" s="225"/>
      <c r="D31" s="225"/>
    </row>
    <row r="32">
      <c r="B32" s="225"/>
      <c r="C32" s="225"/>
      <c r="D32" s="225"/>
    </row>
    <row r="33">
      <c r="B33" s="225"/>
      <c r="C33" s="225"/>
      <c r="D33" s="225"/>
    </row>
    <row r="34">
      <c r="B34" s="225"/>
      <c r="C34" s="225"/>
      <c r="D34" s="225"/>
    </row>
    <row r="35">
      <c r="B35" s="225"/>
      <c r="C35" s="225"/>
      <c r="D35" s="225"/>
    </row>
    <row r="36">
      <c r="B36" s="225"/>
      <c r="C36" s="225"/>
      <c r="D36" s="225"/>
    </row>
    <row r="37">
      <c r="B37" s="225"/>
      <c r="C37" s="225"/>
      <c r="D37" s="225"/>
    </row>
    <row r="38">
      <c r="B38" s="225"/>
      <c r="C38" s="225"/>
      <c r="D38" s="225"/>
    </row>
    <row r="39">
      <c r="B39" s="225"/>
      <c r="C39" s="225"/>
      <c r="D39" s="225"/>
    </row>
    <row r="40">
      <c r="B40" s="225"/>
      <c r="C40" s="225"/>
      <c r="D40" s="225"/>
    </row>
    <row r="41">
      <c r="B41" s="225"/>
      <c r="C41" s="225"/>
      <c r="D41" s="225"/>
    </row>
    <row r="42">
      <c r="B42" s="225"/>
      <c r="C42" s="225"/>
      <c r="D42" s="225"/>
    </row>
    <row r="43">
      <c r="B43" s="225"/>
      <c r="C43" s="225"/>
      <c r="D43" s="225"/>
    </row>
    <row r="44">
      <c r="B44" s="225"/>
      <c r="C44" s="225"/>
      <c r="D44" s="225"/>
    </row>
    <row r="45">
      <c r="B45" s="225"/>
      <c r="C45" s="225"/>
      <c r="D45" s="225"/>
    </row>
    <row r="46">
      <c r="B46" s="225"/>
      <c r="C46" s="225"/>
      <c r="D46" s="225"/>
    </row>
    <row r="47">
      <c r="B47" s="225"/>
      <c r="C47" s="225"/>
      <c r="D47" s="225"/>
    </row>
    <row r="48">
      <c r="B48" s="225"/>
      <c r="C48" s="225"/>
      <c r="D48" s="225"/>
    </row>
    <row r="49">
      <c r="B49" s="225"/>
      <c r="C49" s="225"/>
      <c r="D49" s="225"/>
    </row>
    <row r="50">
      <c r="B50" s="225"/>
      <c r="C50" s="225"/>
      <c r="D50" s="225"/>
    </row>
    <row r="51">
      <c r="B51" s="225"/>
      <c r="C51" s="225"/>
      <c r="D51" s="225"/>
    </row>
    <row r="52">
      <c r="B52" s="225"/>
      <c r="C52" s="225"/>
      <c r="D52" s="225"/>
    </row>
    <row r="53">
      <c r="B53" s="225"/>
      <c r="C53" s="225"/>
      <c r="D53" s="225"/>
    </row>
    <row r="54">
      <c r="B54" s="225"/>
      <c r="C54" s="225"/>
      <c r="D54" s="225"/>
    </row>
    <row r="55">
      <c r="B55" s="225"/>
      <c r="C55" s="225"/>
      <c r="D55" s="225"/>
    </row>
    <row r="56">
      <c r="B56" s="225"/>
      <c r="C56" s="225"/>
      <c r="D56" s="225"/>
    </row>
    <row r="57">
      <c r="B57" s="225"/>
      <c r="C57" s="225"/>
      <c r="D57" s="225"/>
    </row>
    <row r="58">
      <c r="B58" s="225"/>
      <c r="C58" s="225"/>
      <c r="D58" s="225"/>
    </row>
    <row r="59">
      <c r="B59" s="225"/>
      <c r="C59" s="225"/>
      <c r="D59" s="225"/>
    </row>
    <row r="60">
      <c r="B60" s="225"/>
      <c r="C60" s="225"/>
      <c r="D60" s="225"/>
    </row>
    <row r="61">
      <c r="B61" s="225"/>
      <c r="C61" s="225"/>
      <c r="D61" s="225"/>
    </row>
    <row r="62">
      <c r="B62" s="225"/>
      <c r="C62" s="225"/>
      <c r="D62" s="225"/>
    </row>
    <row r="63">
      <c r="B63" s="225"/>
      <c r="C63" s="225"/>
      <c r="D63" s="225"/>
    </row>
    <row r="64">
      <c r="B64" s="225"/>
      <c r="C64" s="225"/>
      <c r="D64" s="225"/>
    </row>
    <row r="65">
      <c r="B65" s="225"/>
      <c r="C65" s="225"/>
      <c r="D65" s="225"/>
    </row>
    <row r="66">
      <c r="B66" s="225"/>
      <c r="C66" s="225"/>
      <c r="D66" s="225"/>
    </row>
    <row r="67">
      <c r="B67" s="225"/>
      <c r="C67" s="225"/>
      <c r="D67" s="225"/>
    </row>
    <row r="68">
      <c r="B68" s="225"/>
      <c r="C68" s="225"/>
      <c r="D68" s="225"/>
    </row>
    <row r="69">
      <c r="B69" s="225"/>
      <c r="C69" s="225"/>
      <c r="D69" s="225"/>
    </row>
    <row r="70">
      <c r="B70" s="225"/>
      <c r="C70" s="225"/>
      <c r="D70" s="225"/>
    </row>
    <row r="71">
      <c r="B71" s="225"/>
      <c r="C71" s="225"/>
      <c r="D71" s="225"/>
    </row>
    <row r="72">
      <c r="B72" s="225"/>
      <c r="C72" s="225"/>
      <c r="D72" s="225"/>
    </row>
    <row r="73">
      <c r="B73" s="225"/>
      <c r="C73" s="225"/>
      <c r="D73" s="225"/>
    </row>
    <row r="74">
      <c r="B74" s="225"/>
      <c r="C74" s="225"/>
      <c r="D74" s="225"/>
    </row>
    <row r="75">
      <c r="B75" s="225"/>
      <c r="C75" s="225"/>
      <c r="D75" s="225"/>
    </row>
    <row r="76">
      <c r="B76" s="225"/>
      <c r="C76" s="225"/>
      <c r="D76" s="225"/>
    </row>
    <row r="77">
      <c r="B77" s="225"/>
      <c r="C77" s="225"/>
      <c r="D77" s="225"/>
    </row>
    <row r="78">
      <c r="B78" s="225"/>
      <c r="C78" s="225"/>
      <c r="D78" s="225"/>
    </row>
    <row r="79">
      <c r="B79" s="225"/>
      <c r="C79" s="225"/>
      <c r="D79" s="225"/>
    </row>
    <row r="80">
      <c r="B80" s="225"/>
      <c r="C80" s="225"/>
      <c r="D80" s="225"/>
    </row>
    <row r="81">
      <c r="B81" s="225"/>
      <c r="C81" s="225"/>
      <c r="D81" s="225"/>
    </row>
    <row r="82">
      <c r="B82" s="225"/>
      <c r="C82" s="225"/>
      <c r="D82" s="225"/>
    </row>
    <row r="83">
      <c r="B83" s="225"/>
      <c r="C83" s="225"/>
      <c r="D83" s="225"/>
    </row>
    <row r="84">
      <c r="B84" s="225"/>
      <c r="C84" s="225"/>
      <c r="D84" s="225"/>
    </row>
    <row r="85">
      <c r="B85" s="225"/>
      <c r="C85" s="225"/>
      <c r="D85" s="225"/>
    </row>
    <row r="86">
      <c r="B86" s="225"/>
      <c r="C86" s="225"/>
      <c r="D86" s="225"/>
    </row>
    <row r="87">
      <c r="B87" s="225"/>
      <c r="C87" s="225"/>
      <c r="D87" s="225"/>
    </row>
    <row r="88">
      <c r="B88" s="225"/>
      <c r="C88" s="225"/>
      <c r="D88" s="225"/>
    </row>
    <row r="89">
      <c r="B89" s="225"/>
      <c r="C89" s="225"/>
      <c r="D89" s="225"/>
    </row>
    <row r="90">
      <c r="B90" s="225"/>
      <c r="C90" s="225"/>
      <c r="D90" s="225"/>
    </row>
    <row r="91">
      <c r="B91" s="225"/>
      <c r="C91" s="225"/>
      <c r="D91" s="225"/>
    </row>
    <row r="92">
      <c r="B92" s="225"/>
      <c r="C92" s="225"/>
      <c r="D92" s="225"/>
    </row>
    <row r="93">
      <c r="B93" s="225"/>
      <c r="C93" s="225"/>
      <c r="D93" s="225"/>
    </row>
    <row r="94">
      <c r="B94" s="225"/>
      <c r="C94" s="225"/>
      <c r="D94" s="225"/>
    </row>
    <row r="95">
      <c r="B95" s="225"/>
      <c r="C95" s="225"/>
      <c r="D95" s="225"/>
    </row>
    <row r="96">
      <c r="B96" s="225"/>
      <c r="C96" s="225"/>
      <c r="D96" s="225"/>
    </row>
    <row r="97">
      <c r="B97" s="225"/>
      <c r="C97" s="225"/>
      <c r="D97" s="225"/>
    </row>
    <row r="98">
      <c r="B98" s="225"/>
      <c r="C98" s="225"/>
      <c r="D98" s="225"/>
    </row>
    <row r="99">
      <c r="B99" s="225"/>
      <c r="C99" s="225"/>
      <c r="D99" s="225"/>
    </row>
    <row r="100">
      <c r="B100" s="225"/>
      <c r="C100" s="225"/>
      <c r="D100" s="225"/>
    </row>
    <row r="101">
      <c r="B101" s="225"/>
      <c r="C101" s="225"/>
      <c r="D101" s="225"/>
    </row>
    <row r="102">
      <c r="B102" s="225"/>
      <c r="C102" s="225"/>
      <c r="D102" s="225"/>
    </row>
    <row r="103">
      <c r="B103" s="225"/>
      <c r="C103" s="225"/>
      <c r="D103" s="225"/>
    </row>
    <row r="104">
      <c r="B104" s="225"/>
      <c r="C104" s="225"/>
      <c r="D104" s="225"/>
    </row>
    <row r="105">
      <c r="B105" s="225"/>
      <c r="C105" s="225"/>
      <c r="D105" s="225"/>
    </row>
    <row r="106">
      <c r="B106" s="225"/>
      <c r="C106" s="225"/>
      <c r="D106" s="225"/>
    </row>
    <row r="107">
      <c r="B107" s="225"/>
      <c r="C107" s="225"/>
      <c r="D107" s="225"/>
    </row>
    <row r="108">
      <c r="B108" s="225"/>
      <c r="C108" s="225"/>
      <c r="D108" s="225"/>
    </row>
    <row r="109">
      <c r="B109" s="225"/>
      <c r="C109" s="225"/>
      <c r="D109" s="225"/>
    </row>
    <row r="110">
      <c r="B110" s="225"/>
      <c r="C110" s="225"/>
      <c r="D110" s="225"/>
    </row>
    <row r="111">
      <c r="B111" s="225"/>
      <c r="C111" s="225"/>
      <c r="D111" s="225"/>
    </row>
    <row r="112">
      <c r="B112" s="225"/>
      <c r="C112" s="225"/>
      <c r="D112" s="225"/>
    </row>
    <row r="113">
      <c r="B113" s="225"/>
      <c r="C113" s="225"/>
      <c r="D113" s="225"/>
    </row>
    <row r="114">
      <c r="B114" s="225"/>
      <c r="C114" s="225"/>
      <c r="D114" s="225"/>
    </row>
    <row r="115">
      <c r="B115" s="225"/>
      <c r="C115" s="225"/>
      <c r="D115" s="225"/>
    </row>
    <row r="116">
      <c r="B116" s="225"/>
      <c r="C116" s="225"/>
      <c r="D116" s="225"/>
    </row>
    <row r="117">
      <c r="B117" s="225"/>
      <c r="C117" s="225"/>
      <c r="D117" s="225"/>
    </row>
    <row r="118">
      <c r="B118" s="225"/>
      <c r="C118" s="225"/>
      <c r="D118" s="225"/>
    </row>
    <row r="119">
      <c r="B119" s="225"/>
      <c r="C119" s="225"/>
      <c r="D119" s="225"/>
    </row>
    <row r="120">
      <c r="B120" s="225"/>
      <c r="C120" s="225"/>
      <c r="D120" s="225"/>
    </row>
    <row r="121">
      <c r="B121" s="225"/>
      <c r="C121" s="225"/>
      <c r="D121" s="225"/>
    </row>
    <row r="122">
      <c r="B122" s="225"/>
      <c r="C122" s="225"/>
      <c r="D122" s="225"/>
    </row>
    <row r="123">
      <c r="B123" s="225"/>
      <c r="C123" s="225"/>
      <c r="D123" s="225"/>
    </row>
    <row r="124">
      <c r="B124" s="225"/>
      <c r="C124" s="225"/>
      <c r="D124" s="225"/>
    </row>
    <row r="125">
      <c r="B125" s="225"/>
      <c r="C125" s="225"/>
      <c r="D125" s="225"/>
    </row>
    <row r="126">
      <c r="B126" s="225"/>
      <c r="C126" s="225"/>
      <c r="D126" s="225"/>
    </row>
    <row r="127">
      <c r="B127" s="225"/>
      <c r="C127" s="225"/>
      <c r="D127" s="225"/>
    </row>
    <row r="128">
      <c r="B128" s="225"/>
      <c r="C128" s="225"/>
      <c r="D128" s="225"/>
    </row>
    <row r="129">
      <c r="B129" s="225"/>
      <c r="C129" s="225"/>
      <c r="D129" s="225"/>
    </row>
    <row r="130">
      <c r="B130" s="225"/>
      <c r="C130" s="225"/>
      <c r="D130" s="225"/>
    </row>
    <row r="131">
      <c r="B131" s="225"/>
      <c r="C131" s="225"/>
      <c r="D131" s="225"/>
    </row>
    <row r="132">
      <c r="B132" s="225"/>
      <c r="C132" s="225"/>
      <c r="D132" s="225"/>
    </row>
    <row r="133">
      <c r="B133" s="225"/>
      <c r="C133" s="225"/>
      <c r="D133" s="225"/>
    </row>
    <row r="134">
      <c r="B134" s="225"/>
      <c r="C134" s="225"/>
      <c r="D134" s="225"/>
    </row>
    <row r="135">
      <c r="B135" s="225"/>
      <c r="C135" s="225"/>
      <c r="D135" s="225"/>
    </row>
    <row r="136">
      <c r="B136" s="225"/>
      <c r="C136" s="225"/>
      <c r="D136" s="225"/>
    </row>
    <row r="137">
      <c r="B137" s="225"/>
      <c r="C137" s="225"/>
      <c r="D137" s="225"/>
    </row>
    <row r="138">
      <c r="B138" s="225"/>
      <c r="C138" s="225"/>
      <c r="D138" s="225"/>
    </row>
    <row r="139">
      <c r="B139" s="225"/>
      <c r="C139" s="225"/>
      <c r="D139" s="225"/>
    </row>
    <row r="140">
      <c r="B140" s="225"/>
      <c r="C140" s="225"/>
      <c r="D140" s="225"/>
    </row>
    <row r="141">
      <c r="B141" s="225"/>
      <c r="C141" s="225"/>
      <c r="D141" s="225"/>
    </row>
    <row r="142">
      <c r="B142" s="225"/>
      <c r="C142" s="225"/>
      <c r="D142" s="225"/>
    </row>
    <row r="143">
      <c r="B143" s="225"/>
      <c r="C143" s="225"/>
      <c r="D143" s="225"/>
    </row>
    <row r="144">
      <c r="B144" s="225"/>
      <c r="C144" s="225"/>
      <c r="D144" s="225"/>
    </row>
    <row r="145">
      <c r="B145" s="225"/>
      <c r="C145" s="225"/>
      <c r="D145" s="225"/>
    </row>
    <row r="146">
      <c r="B146" s="225"/>
      <c r="C146" s="225"/>
      <c r="D146" s="225"/>
    </row>
    <row r="147">
      <c r="B147" s="225"/>
      <c r="C147" s="225"/>
      <c r="D147" s="225"/>
    </row>
    <row r="148">
      <c r="B148" s="225"/>
      <c r="C148" s="225"/>
      <c r="D148" s="225"/>
    </row>
    <row r="149">
      <c r="B149" s="225"/>
      <c r="C149" s="225"/>
      <c r="D149" s="225"/>
    </row>
    <row r="150">
      <c r="B150" s="225"/>
      <c r="C150" s="225"/>
      <c r="D150" s="225"/>
    </row>
    <row r="151">
      <c r="B151" s="225"/>
      <c r="C151" s="225"/>
      <c r="D151" s="225"/>
    </row>
    <row r="152">
      <c r="B152" s="225"/>
      <c r="C152" s="225"/>
      <c r="D152" s="225"/>
    </row>
    <row r="153">
      <c r="B153" s="225"/>
      <c r="C153" s="225"/>
      <c r="D153" s="225"/>
    </row>
    <row r="154">
      <c r="B154" s="225"/>
      <c r="C154" s="225"/>
      <c r="D154" s="225"/>
    </row>
    <row r="155">
      <c r="B155" s="225"/>
      <c r="C155" s="225"/>
      <c r="D155" s="225"/>
    </row>
    <row r="156">
      <c r="B156" s="225"/>
      <c r="C156" s="225"/>
      <c r="D156" s="225"/>
    </row>
    <row r="157">
      <c r="B157" s="225"/>
      <c r="C157" s="225"/>
      <c r="D157" s="225"/>
    </row>
    <row r="158">
      <c r="B158" s="225"/>
      <c r="C158" s="225"/>
      <c r="D158" s="225"/>
    </row>
    <row r="159">
      <c r="B159" s="225"/>
      <c r="C159" s="225"/>
      <c r="D159" s="225"/>
    </row>
    <row r="160">
      <c r="B160" s="225"/>
      <c r="C160" s="225"/>
      <c r="D160" s="225"/>
    </row>
    <row r="161">
      <c r="B161" s="225"/>
      <c r="C161" s="225"/>
      <c r="D161" s="225"/>
    </row>
    <row r="162">
      <c r="B162" s="225"/>
      <c r="C162" s="225"/>
      <c r="D162" s="225"/>
    </row>
    <row r="163">
      <c r="B163" s="225"/>
      <c r="C163" s="225"/>
      <c r="D163" s="225"/>
    </row>
    <row r="164">
      <c r="B164" s="225"/>
      <c r="C164" s="225"/>
      <c r="D164" s="225"/>
    </row>
    <row r="165">
      <c r="B165" s="225"/>
      <c r="C165" s="225"/>
      <c r="D165" s="225"/>
    </row>
    <row r="166">
      <c r="B166" s="225"/>
      <c r="C166" s="225"/>
      <c r="D166" s="225"/>
    </row>
    <row r="167">
      <c r="B167" s="225"/>
      <c r="C167" s="225"/>
      <c r="D167" s="225"/>
    </row>
    <row r="168">
      <c r="B168" s="225"/>
      <c r="C168" s="225"/>
      <c r="D168" s="225"/>
    </row>
    <row r="169">
      <c r="B169" s="225"/>
      <c r="C169" s="225"/>
      <c r="D169" s="225"/>
    </row>
    <row r="170">
      <c r="B170" s="225"/>
      <c r="C170" s="225"/>
      <c r="D170" s="225"/>
    </row>
    <row r="171">
      <c r="B171" s="225"/>
      <c r="C171" s="225"/>
      <c r="D171" s="225"/>
    </row>
    <row r="172">
      <c r="B172" s="225"/>
      <c r="C172" s="225"/>
      <c r="D172" s="225"/>
    </row>
    <row r="173">
      <c r="B173" s="225"/>
      <c r="C173" s="225"/>
      <c r="D173" s="225"/>
    </row>
    <row r="174">
      <c r="B174" s="225"/>
      <c r="C174" s="225"/>
      <c r="D174" s="225"/>
    </row>
    <row r="175">
      <c r="B175" s="225"/>
      <c r="C175" s="225"/>
      <c r="D175" s="225"/>
    </row>
    <row r="176">
      <c r="B176" s="225"/>
      <c r="C176" s="225"/>
      <c r="D176" s="225"/>
    </row>
    <row r="177">
      <c r="B177" s="225"/>
      <c r="C177" s="225"/>
      <c r="D177" s="225"/>
    </row>
    <row r="178">
      <c r="B178" s="225"/>
      <c r="C178" s="225"/>
      <c r="D178" s="225"/>
    </row>
    <row r="179">
      <c r="B179" s="225"/>
      <c r="C179" s="225"/>
      <c r="D179" s="225"/>
    </row>
    <row r="180">
      <c r="B180" s="225"/>
      <c r="C180" s="225"/>
      <c r="D180" s="225"/>
    </row>
    <row r="181">
      <c r="B181" s="225"/>
      <c r="C181" s="225"/>
      <c r="D181" s="225"/>
    </row>
    <row r="182">
      <c r="B182" s="225"/>
      <c r="C182" s="225"/>
      <c r="D182" s="225"/>
    </row>
    <row r="183">
      <c r="B183" s="225"/>
      <c r="C183" s="225"/>
      <c r="D183" s="225"/>
    </row>
    <row r="184">
      <c r="B184" s="225"/>
      <c r="C184" s="225"/>
      <c r="D184" s="225"/>
    </row>
    <row r="185">
      <c r="B185" s="225"/>
      <c r="C185" s="225"/>
      <c r="D185" s="225"/>
    </row>
    <row r="186">
      <c r="B186" s="225"/>
      <c r="C186" s="225"/>
      <c r="D186" s="225"/>
    </row>
    <row r="187">
      <c r="B187" s="225"/>
      <c r="C187" s="225"/>
      <c r="D187" s="225"/>
    </row>
    <row r="188">
      <c r="B188" s="225"/>
      <c r="C188" s="225"/>
      <c r="D188" s="225"/>
    </row>
    <row r="189">
      <c r="B189" s="225"/>
      <c r="C189" s="225"/>
      <c r="D189" s="225"/>
    </row>
    <row r="190">
      <c r="B190" s="225"/>
      <c r="C190" s="225"/>
      <c r="D190" s="225"/>
    </row>
    <row r="191">
      <c r="B191" s="225"/>
      <c r="C191" s="225"/>
      <c r="D191" s="225"/>
    </row>
    <row r="192">
      <c r="B192" s="225"/>
      <c r="C192" s="225"/>
      <c r="D192" s="225"/>
    </row>
    <row r="193">
      <c r="B193" s="225"/>
      <c r="C193" s="225"/>
      <c r="D193" s="225"/>
    </row>
    <row r="194">
      <c r="B194" s="225"/>
      <c r="C194" s="225"/>
      <c r="D194" s="225"/>
    </row>
    <row r="195">
      <c r="B195" s="225"/>
      <c r="C195" s="225"/>
      <c r="D195" s="225"/>
    </row>
    <row r="196">
      <c r="B196" s="225"/>
      <c r="C196" s="225"/>
      <c r="D196" s="225"/>
    </row>
    <row r="197">
      <c r="B197" s="225"/>
      <c r="C197" s="225"/>
      <c r="D197" s="225"/>
    </row>
    <row r="198">
      <c r="B198" s="225"/>
      <c r="C198" s="225"/>
      <c r="D198" s="225"/>
    </row>
    <row r="199">
      <c r="B199" s="225"/>
      <c r="C199" s="225"/>
      <c r="D199" s="225"/>
    </row>
    <row r="200">
      <c r="B200" s="225"/>
      <c r="C200" s="225"/>
      <c r="D200" s="225"/>
    </row>
    <row r="201">
      <c r="B201" s="225"/>
      <c r="C201" s="225"/>
      <c r="D201" s="225"/>
    </row>
    <row r="202">
      <c r="B202" s="225"/>
      <c r="C202" s="225"/>
      <c r="D202" s="225"/>
    </row>
    <row r="203">
      <c r="B203" s="225"/>
      <c r="C203" s="225"/>
      <c r="D203" s="225"/>
    </row>
    <row r="204">
      <c r="B204" s="225"/>
      <c r="C204" s="225"/>
      <c r="D204" s="225"/>
    </row>
    <row r="205">
      <c r="B205" s="225"/>
      <c r="C205" s="225"/>
      <c r="D205" s="225"/>
    </row>
    <row r="206">
      <c r="B206" s="225"/>
      <c r="C206" s="225"/>
      <c r="D206" s="225"/>
    </row>
    <row r="207">
      <c r="B207" s="225"/>
      <c r="C207" s="225"/>
      <c r="D207" s="225"/>
    </row>
    <row r="208">
      <c r="B208" s="225"/>
      <c r="C208" s="225"/>
      <c r="D208" s="225"/>
    </row>
    <row r="209">
      <c r="B209" s="225"/>
      <c r="C209" s="225"/>
      <c r="D209" s="225"/>
    </row>
    <row r="210">
      <c r="B210" s="225"/>
      <c r="C210" s="225"/>
      <c r="D210" s="225"/>
    </row>
    <row r="211">
      <c r="B211" s="225"/>
      <c r="C211" s="225"/>
      <c r="D211" s="225"/>
    </row>
    <row r="212">
      <c r="B212" s="225"/>
      <c r="C212" s="225"/>
      <c r="D212" s="225"/>
    </row>
    <row r="213">
      <c r="B213" s="225"/>
      <c r="C213" s="225"/>
      <c r="D213" s="225"/>
    </row>
    <row r="214">
      <c r="B214" s="225"/>
      <c r="C214" s="225"/>
      <c r="D214" s="225"/>
    </row>
    <row r="215">
      <c r="B215" s="225"/>
      <c r="C215" s="225"/>
      <c r="D215" s="225"/>
    </row>
    <row r="216">
      <c r="B216" s="225"/>
      <c r="C216" s="225"/>
      <c r="D216" s="225"/>
    </row>
    <row r="217">
      <c r="B217" s="225"/>
      <c r="C217" s="225"/>
      <c r="D217" s="225"/>
    </row>
    <row r="218">
      <c r="B218" s="225"/>
      <c r="C218" s="225"/>
      <c r="D218" s="225"/>
    </row>
    <row r="219">
      <c r="B219" s="225"/>
      <c r="C219" s="225"/>
      <c r="D219" s="225"/>
    </row>
    <row r="220">
      <c r="B220" s="225"/>
      <c r="C220" s="225"/>
      <c r="D220" s="225"/>
    </row>
    <row r="221">
      <c r="B221" s="225"/>
      <c r="C221" s="225"/>
      <c r="D221" s="225"/>
    </row>
    <row r="222">
      <c r="B222" s="225"/>
      <c r="C222" s="225"/>
      <c r="D222" s="225"/>
    </row>
    <row r="223">
      <c r="B223" s="225"/>
      <c r="C223" s="225"/>
      <c r="D223" s="225"/>
    </row>
    <row r="224">
      <c r="B224" s="225"/>
      <c r="C224" s="225"/>
      <c r="D224" s="225"/>
    </row>
    <row r="225">
      <c r="B225" s="225"/>
      <c r="C225" s="225"/>
      <c r="D225" s="225"/>
    </row>
    <row r="226">
      <c r="B226" s="225"/>
      <c r="C226" s="225"/>
      <c r="D226" s="225"/>
    </row>
    <row r="227">
      <c r="B227" s="225"/>
      <c r="C227" s="225"/>
      <c r="D227" s="225"/>
    </row>
    <row r="228">
      <c r="B228" s="225"/>
      <c r="C228" s="225"/>
      <c r="D228" s="225"/>
    </row>
    <row r="229">
      <c r="B229" s="225"/>
      <c r="C229" s="225"/>
      <c r="D229" s="225"/>
    </row>
    <row r="230">
      <c r="B230" s="225"/>
      <c r="C230" s="225"/>
      <c r="D230" s="225"/>
    </row>
    <row r="231">
      <c r="B231" s="225"/>
      <c r="C231" s="225"/>
      <c r="D231" s="225"/>
    </row>
    <row r="232">
      <c r="B232" s="225"/>
      <c r="C232" s="225"/>
      <c r="D232" s="225"/>
    </row>
    <row r="233">
      <c r="B233" s="225"/>
      <c r="C233" s="225"/>
      <c r="D233" s="225"/>
    </row>
    <row r="234">
      <c r="B234" s="225"/>
      <c r="C234" s="225"/>
      <c r="D234" s="225"/>
    </row>
    <row r="235">
      <c r="B235" s="225"/>
      <c r="C235" s="225"/>
      <c r="D235" s="225"/>
    </row>
    <row r="236">
      <c r="B236" s="225"/>
      <c r="C236" s="225"/>
      <c r="D236" s="225"/>
    </row>
    <row r="237">
      <c r="B237" s="225"/>
      <c r="C237" s="225"/>
      <c r="D237" s="225"/>
    </row>
    <row r="238">
      <c r="B238" s="225"/>
      <c r="C238" s="225"/>
      <c r="D238" s="225"/>
    </row>
    <row r="239">
      <c r="B239" s="225"/>
      <c r="C239" s="225"/>
      <c r="D239" s="225"/>
    </row>
    <row r="240">
      <c r="B240" s="225"/>
      <c r="C240" s="225"/>
      <c r="D240" s="225"/>
    </row>
    <row r="241">
      <c r="B241" s="225"/>
      <c r="C241" s="225"/>
      <c r="D241" s="225"/>
    </row>
    <row r="242">
      <c r="B242" s="225"/>
      <c r="C242" s="225"/>
      <c r="D242" s="225"/>
    </row>
    <row r="243">
      <c r="B243" s="225"/>
      <c r="C243" s="225"/>
      <c r="D243" s="225"/>
    </row>
    <row r="244">
      <c r="B244" s="225"/>
      <c r="C244" s="225"/>
      <c r="D244" s="225"/>
    </row>
    <row r="245">
      <c r="B245" s="225"/>
      <c r="C245" s="225"/>
      <c r="D245" s="225"/>
    </row>
    <row r="246">
      <c r="B246" s="225"/>
      <c r="C246" s="225"/>
      <c r="D246" s="225"/>
    </row>
    <row r="247">
      <c r="B247" s="225"/>
      <c r="C247" s="225"/>
      <c r="D247" s="225"/>
    </row>
    <row r="248">
      <c r="B248" s="225"/>
      <c r="C248" s="225"/>
      <c r="D248" s="225"/>
    </row>
    <row r="249">
      <c r="B249" s="225"/>
      <c r="C249" s="225"/>
      <c r="D249" s="225"/>
    </row>
    <row r="250">
      <c r="B250" s="225"/>
      <c r="C250" s="225"/>
      <c r="D250" s="225"/>
    </row>
    <row r="251">
      <c r="B251" s="225"/>
      <c r="C251" s="225"/>
      <c r="D251" s="225"/>
    </row>
    <row r="252">
      <c r="B252" s="225"/>
      <c r="C252" s="225"/>
      <c r="D252" s="225"/>
    </row>
    <row r="253">
      <c r="B253" s="225"/>
      <c r="C253" s="225"/>
      <c r="D253" s="225"/>
    </row>
    <row r="254">
      <c r="B254" s="225"/>
      <c r="C254" s="225"/>
      <c r="D254" s="225"/>
    </row>
    <row r="255">
      <c r="B255" s="225"/>
      <c r="C255" s="225"/>
      <c r="D255" s="225"/>
    </row>
    <row r="256">
      <c r="B256" s="225"/>
      <c r="C256" s="225"/>
      <c r="D256" s="225"/>
    </row>
    <row r="257">
      <c r="B257" s="225"/>
      <c r="C257" s="225"/>
      <c r="D257" s="225"/>
    </row>
    <row r="258">
      <c r="B258" s="225"/>
      <c r="C258" s="225"/>
      <c r="D258" s="225"/>
    </row>
    <row r="259">
      <c r="B259" s="225"/>
      <c r="C259" s="225"/>
      <c r="D259" s="225"/>
    </row>
    <row r="260">
      <c r="B260" s="225"/>
      <c r="C260" s="225"/>
      <c r="D260" s="225"/>
    </row>
    <row r="261">
      <c r="B261" s="225"/>
      <c r="C261" s="225"/>
      <c r="D261" s="225"/>
    </row>
    <row r="262">
      <c r="B262" s="225"/>
      <c r="C262" s="225"/>
      <c r="D262" s="225"/>
    </row>
    <row r="263">
      <c r="B263" s="225"/>
      <c r="C263" s="225"/>
      <c r="D263" s="225"/>
    </row>
    <row r="264">
      <c r="B264" s="225"/>
      <c r="C264" s="225"/>
      <c r="D264" s="225"/>
    </row>
    <row r="265">
      <c r="B265" s="225"/>
      <c r="C265" s="225"/>
      <c r="D265" s="225"/>
    </row>
    <row r="266">
      <c r="B266" s="225"/>
      <c r="C266" s="225"/>
      <c r="D266" s="225"/>
    </row>
    <row r="267">
      <c r="B267" s="225"/>
      <c r="C267" s="225"/>
      <c r="D267" s="225"/>
    </row>
    <row r="268">
      <c r="B268" s="225"/>
      <c r="C268" s="225"/>
      <c r="D268" s="225"/>
    </row>
    <row r="269">
      <c r="B269" s="225"/>
      <c r="C269" s="225"/>
      <c r="D269" s="225"/>
    </row>
    <row r="270">
      <c r="B270" s="225"/>
      <c r="C270" s="225"/>
      <c r="D270" s="225"/>
    </row>
    <row r="271">
      <c r="B271" s="225"/>
      <c r="C271" s="225"/>
      <c r="D271" s="225"/>
    </row>
    <row r="272">
      <c r="B272" s="225"/>
      <c r="C272" s="225"/>
      <c r="D272" s="225"/>
    </row>
    <row r="273">
      <c r="B273" s="225"/>
      <c r="C273" s="225"/>
      <c r="D273" s="225"/>
    </row>
    <row r="274">
      <c r="B274" s="225"/>
      <c r="C274" s="225"/>
      <c r="D274" s="225"/>
    </row>
    <row r="275">
      <c r="B275" s="225"/>
      <c r="C275" s="225"/>
      <c r="D275" s="225"/>
    </row>
    <row r="276">
      <c r="B276" s="225"/>
      <c r="C276" s="225"/>
      <c r="D276" s="225"/>
    </row>
    <row r="277">
      <c r="B277" s="225"/>
      <c r="C277" s="225"/>
      <c r="D277" s="225"/>
    </row>
    <row r="278">
      <c r="B278" s="225"/>
      <c r="C278" s="225"/>
      <c r="D278" s="225"/>
    </row>
    <row r="279">
      <c r="B279" s="225"/>
      <c r="C279" s="225"/>
      <c r="D279" s="225"/>
    </row>
    <row r="280">
      <c r="B280" s="225"/>
      <c r="C280" s="225"/>
      <c r="D280" s="225"/>
    </row>
    <row r="281">
      <c r="B281" s="225"/>
      <c r="C281" s="225"/>
      <c r="D281" s="225"/>
    </row>
    <row r="282">
      <c r="B282" s="225"/>
      <c r="C282" s="225"/>
      <c r="D282" s="225"/>
    </row>
    <row r="283">
      <c r="B283" s="225"/>
      <c r="C283" s="225"/>
      <c r="D283" s="225"/>
    </row>
    <row r="284">
      <c r="B284" s="225"/>
      <c r="C284" s="225"/>
      <c r="D284" s="225"/>
    </row>
    <row r="285">
      <c r="B285" s="225"/>
      <c r="C285" s="225"/>
      <c r="D285" s="225"/>
    </row>
    <row r="286">
      <c r="B286" s="225"/>
      <c r="C286" s="225"/>
      <c r="D286" s="225"/>
    </row>
    <row r="287">
      <c r="B287" s="225"/>
      <c r="C287" s="225"/>
      <c r="D287" s="225"/>
    </row>
    <row r="288">
      <c r="B288" s="225"/>
      <c r="C288" s="225"/>
      <c r="D288" s="225"/>
    </row>
    <row r="289">
      <c r="B289" s="225"/>
      <c r="C289" s="225"/>
      <c r="D289" s="225"/>
    </row>
    <row r="290">
      <c r="B290" s="225"/>
      <c r="C290" s="225"/>
      <c r="D290" s="225"/>
    </row>
    <row r="291">
      <c r="B291" s="225"/>
      <c r="C291" s="225"/>
      <c r="D291" s="225"/>
    </row>
    <row r="292">
      <c r="B292" s="225"/>
      <c r="C292" s="225"/>
      <c r="D292" s="225"/>
    </row>
    <row r="293">
      <c r="B293" s="225"/>
      <c r="C293" s="225"/>
      <c r="D293" s="225"/>
    </row>
    <row r="294">
      <c r="B294" s="225"/>
      <c r="C294" s="225"/>
      <c r="D294" s="225"/>
    </row>
    <row r="295">
      <c r="B295" s="225"/>
      <c r="C295" s="225"/>
      <c r="D295" s="225"/>
    </row>
    <row r="296">
      <c r="B296" s="225"/>
      <c r="C296" s="225"/>
      <c r="D296" s="225"/>
    </row>
    <row r="297">
      <c r="B297" s="225"/>
      <c r="C297" s="225"/>
      <c r="D297" s="225"/>
    </row>
    <row r="298">
      <c r="B298" s="225"/>
      <c r="C298" s="225"/>
      <c r="D298" s="225"/>
    </row>
    <row r="299">
      <c r="B299" s="225"/>
      <c r="C299" s="225"/>
      <c r="D299" s="225"/>
    </row>
    <row r="300">
      <c r="B300" s="225"/>
      <c r="C300" s="225"/>
      <c r="D300" s="225"/>
    </row>
    <row r="301">
      <c r="B301" s="225"/>
      <c r="C301" s="225"/>
      <c r="D301" s="225"/>
    </row>
    <row r="302">
      <c r="B302" s="225"/>
      <c r="C302" s="225"/>
      <c r="D302" s="225"/>
    </row>
    <row r="303">
      <c r="B303" s="225"/>
      <c r="C303" s="225"/>
      <c r="D303" s="225"/>
    </row>
    <row r="304">
      <c r="B304" s="225"/>
      <c r="C304" s="225"/>
      <c r="D304" s="225"/>
    </row>
    <row r="305">
      <c r="B305" s="225"/>
      <c r="C305" s="225"/>
      <c r="D305" s="225"/>
    </row>
    <row r="306">
      <c r="B306" s="225"/>
      <c r="C306" s="225"/>
      <c r="D306" s="225"/>
    </row>
    <row r="307">
      <c r="B307" s="225"/>
      <c r="C307" s="225"/>
      <c r="D307" s="225"/>
    </row>
    <row r="308">
      <c r="B308" s="225"/>
      <c r="C308" s="225"/>
      <c r="D308" s="225"/>
    </row>
    <row r="309">
      <c r="B309" s="225"/>
      <c r="C309" s="225"/>
      <c r="D309" s="225"/>
    </row>
    <row r="310">
      <c r="B310" s="225"/>
      <c r="C310" s="225"/>
      <c r="D310" s="225"/>
    </row>
    <row r="311">
      <c r="B311" s="225"/>
      <c r="C311" s="225"/>
      <c r="D311" s="225"/>
    </row>
    <row r="312">
      <c r="B312" s="225"/>
      <c r="C312" s="225"/>
      <c r="D312" s="225"/>
    </row>
    <row r="313">
      <c r="B313" s="225"/>
      <c r="C313" s="225"/>
      <c r="D313" s="225"/>
    </row>
    <row r="314">
      <c r="B314" s="225"/>
      <c r="C314" s="225"/>
      <c r="D314" s="225"/>
    </row>
    <row r="315">
      <c r="B315" s="225"/>
      <c r="C315" s="225"/>
      <c r="D315" s="225"/>
    </row>
    <row r="316">
      <c r="B316" s="225"/>
      <c r="C316" s="225"/>
      <c r="D316" s="225"/>
    </row>
    <row r="317">
      <c r="B317" s="225"/>
      <c r="C317" s="225"/>
      <c r="D317" s="225"/>
    </row>
    <row r="318">
      <c r="B318" s="225"/>
      <c r="C318" s="225"/>
      <c r="D318" s="225"/>
    </row>
    <row r="319">
      <c r="B319" s="225"/>
      <c r="C319" s="225"/>
      <c r="D319" s="225"/>
    </row>
    <row r="320">
      <c r="B320" s="225"/>
      <c r="C320" s="225"/>
      <c r="D320" s="225"/>
    </row>
    <row r="321">
      <c r="B321" s="225"/>
      <c r="C321" s="225"/>
      <c r="D321" s="225"/>
    </row>
    <row r="322">
      <c r="B322" s="225"/>
      <c r="C322" s="225"/>
      <c r="D322" s="225"/>
    </row>
    <row r="323">
      <c r="B323" s="225"/>
      <c r="C323" s="225"/>
      <c r="D323" s="225"/>
    </row>
    <row r="324">
      <c r="B324" s="225"/>
      <c r="C324" s="225"/>
      <c r="D324" s="225"/>
    </row>
    <row r="325">
      <c r="B325" s="225"/>
      <c r="C325" s="225"/>
      <c r="D325" s="225"/>
    </row>
    <row r="326">
      <c r="B326" s="225"/>
      <c r="C326" s="225"/>
      <c r="D326" s="225"/>
    </row>
    <row r="327">
      <c r="B327" s="225"/>
      <c r="C327" s="225"/>
      <c r="D327" s="225"/>
    </row>
    <row r="328">
      <c r="B328" s="225"/>
      <c r="C328" s="225"/>
      <c r="D328" s="225"/>
    </row>
    <row r="329">
      <c r="B329" s="225"/>
      <c r="C329" s="225"/>
      <c r="D329" s="225"/>
    </row>
    <row r="330">
      <c r="B330" s="225"/>
      <c r="C330" s="225"/>
      <c r="D330" s="225"/>
    </row>
    <row r="331">
      <c r="B331" s="225"/>
      <c r="C331" s="225"/>
      <c r="D331" s="225"/>
    </row>
    <row r="332">
      <c r="B332" s="225"/>
      <c r="C332" s="225"/>
      <c r="D332" s="225"/>
    </row>
    <row r="333">
      <c r="B333" s="225"/>
      <c r="C333" s="225"/>
      <c r="D333" s="225"/>
    </row>
    <row r="334">
      <c r="B334" s="225"/>
      <c r="C334" s="225"/>
      <c r="D334" s="225"/>
    </row>
    <row r="335">
      <c r="B335" s="225"/>
      <c r="C335" s="225"/>
      <c r="D335" s="225"/>
    </row>
    <row r="336">
      <c r="B336" s="225"/>
      <c r="C336" s="225"/>
      <c r="D336" s="225"/>
    </row>
    <row r="337">
      <c r="B337" s="225"/>
      <c r="C337" s="225"/>
      <c r="D337" s="225"/>
    </row>
    <row r="338">
      <c r="B338" s="225"/>
      <c r="C338" s="225"/>
      <c r="D338" s="225"/>
    </row>
    <row r="339">
      <c r="B339" s="225"/>
      <c r="C339" s="225"/>
      <c r="D339" s="225"/>
    </row>
    <row r="340">
      <c r="B340" s="225"/>
      <c r="C340" s="225"/>
      <c r="D340" s="225"/>
    </row>
    <row r="341">
      <c r="B341" s="225"/>
      <c r="C341" s="225"/>
      <c r="D341" s="225"/>
    </row>
    <row r="342">
      <c r="B342" s="225"/>
      <c r="C342" s="225"/>
      <c r="D342" s="225"/>
    </row>
    <row r="343">
      <c r="B343" s="225"/>
      <c r="C343" s="225"/>
      <c r="D343" s="225"/>
    </row>
    <row r="344">
      <c r="B344" s="225"/>
      <c r="C344" s="225"/>
      <c r="D344" s="225"/>
    </row>
    <row r="345">
      <c r="B345" s="225"/>
      <c r="C345" s="225"/>
      <c r="D345" s="225"/>
    </row>
    <row r="346">
      <c r="B346" s="225"/>
      <c r="C346" s="225"/>
      <c r="D346" s="225"/>
    </row>
    <row r="347">
      <c r="B347" s="225"/>
      <c r="C347" s="225"/>
      <c r="D347" s="225"/>
    </row>
    <row r="348">
      <c r="B348" s="225"/>
      <c r="C348" s="225"/>
      <c r="D348" s="225"/>
    </row>
    <row r="349">
      <c r="B349" s="225"/>
      <c r="C349" s="225"/>
      <c r="D349" s="225"/>
    </row>
    <row r="350">
      <c r="B350" s="225"/>
      <c r="C350" s="225"/>
      <c r="D350" s="225"/>
    </row>
    <row r="351">
      <c r="B351" s="225"/>
      <c r="C351" s="225"/>
      <c r="D351" s="225"/>
    </row>
    <row r="352">
      <c r="B352" s="225"/>
      <c r="C352" s="225"/>
      <c r="D352" s="225"/>
    </row>
    <row r="353">
      <c r="B353" s="225"/>
      <c r="C353" s="225"/>
      <c r="D353" s="225"/>
    </row>
    <row r="354">
      <c r="B354" s="225"/>
      <c r="C354" s="225"/>
      <c r="D354" s="225"/>
    </row>
    <row r="355">
      <c r="B355" s="225"/>
      <c r="C355" s="225"/>
      <c r="D355" s="225"/>
    </row>
    <row r="356">
      <c r="B356" s="225"/>
      <c r="C356" s="225"/>
      <c r="D356" s="225"/>
    </row>
    <row r="357">
      <c r="B357" s="225"/>
      <c r="C357" s="225"/>
      <c r="D357" s="225"/>
    </row>
    <row r="358">
      <c r="B358" s="225"/>
      <c r="C358" s="225"/>
      <c r="D358" s="225"/>
    </row>
    <row r="359">
      <c r="B359" s="225"/>
      <c r="C359" s="225"/>
      <c r="D359" s="225"/>
    </row>
    <row r="360">
      <c r="B360" s="225"/>
      <c r="C360" s="225"/>
      <c r="D360" s="225"/>
    </row>
    <row r="361">
      <c r="B361" s="225"/>
      <c r="C361" s="225"/>
      <c r="D361" s="225"/>
    </row>
    <row r="362">
      <c r="B362" s="225"/>
      <c r="C362" s="225"/>
      <c r="D362" s="225"/>
    </row>
    <row r="363">
      <c r="B363" s="225"/>
      <c r="C363" s="225"/>
      <c r="D363" s="225"/>
    </row>
    <row r="364">
      <c r="B364" s="225"/>
      <c r="C364" s="225"/>
      <c r="D364" s="225"/>
    </row>
    <row r="365">
      <c r="B365" s="225"/>
      <c r="C365" s="225"/>
      <c r="D365" s="225"/>
    </row>
    <row r="366">
      <c r="B366" s="225"/>
      <c r="C366" s="225"/>
      <c r="D366" s="225"/>
    </row>
    <row r="367">
      <c r="B367" s="225"/>
      <c r="C367" s="225"/>
      <c r="D367" s="225"/>
    </row>
    <row r="368">
      <c r="B368" s="225"/>
      <c r="C368" s="225"/>
      <c r="D368" s="225"/>
    </row>
    <row r="369">
      <c r="B369" s="225"/>
      <c r="C369" s="225"/>
      <c r="D369" s="225"/>
    </row>
    <row r="370">
      <c r="B370" s="225"/>
      <c r="C370" s="225"/>
      <c r="D370" s="225"/>
    </row>
    <row r="371">
      <c r="B371" s="225"/>
      <c r="C371" s="225"/>
      <c r="D371" s="225"/>
    </row>
    <row r="372">
      <c r="B372" s="225"/>
      <c r="C372" s="225"/>
      <c r="D372" s="225"/>
    </row>
    <row r="373">
      <c r="B373" s="225"/>
      <c r="C373" s="225"/>
      <c r="D373" s="225"/>
    </row>
    <row r="374">
      <c r="B374" s="225"/>
      <c r="C374" s="225"/>
      <c r="D374" s="225"/>
    </row>
    <row r="375">
      <c r="B375" s="225"/>
      <c r="C375" s="225"/>
      <c r="D375" s="225"/>
    </row>
    <row r="376">
      <c r="B376" s="225"/>
      <c r="C376" s="225"/>
      <c r="D376" s="225"/>
    </row>
    <row r="377">
      <c r="B377" s="225"/>
      <c r="C377" s="225"/>
      <c r="D377" s="225"/>
    </row>
    <row r="378">
      <c r="B378" s="225"/>
      <c r="C378" s="225"/>
      <c r="D378" s="225"/>
    </row>
    <row r="379">
      <c r="B379" s="225"/>
      <c r="C379" s="225"/>
      <c r="D379" s="225"/>
    </row>
    <row r="380">
      <c r="B380" s="225"/>
      <c r="C380" s="225"/>
      <c r="D380" s="225"/>
    </row>
    <row r="381">
      <c r="B381" s="225"/>
      <c r="C381" s="225"/>
      <c r="D381" s="225"/>
    </row>
    <row r="382">
      <c r="B382" s="225"/>
      <c r="C382" s="225"/>
      <c r="D382" s="225"/>
    </row>
    <row r="383">
      <c r="B383" s="225"/>
      <c r="C383" s="225"/>
      <c r="D383" s="225"/>
    </row>
    <row r="384">
      <c r="B384" s="225"/>
      <c r="C384" s="225"/>
      <c r="D384" s="225"/>
    </row>
    <row r="385">
      <c r="B385" s="225"/>
      <c r="C385" s="225"/>
      <c r="D385" s="225"/>
    </row>
    <row r="386">
      <c r="B386" s="225"/>
      <c r="C386" s="225"/>
      <c r="D386" s="225"/>
    </row>
    <row r="387">
      <c r="B387" s="225"/>
      <c r="C387" s="225"/>
      <c r="D387" s="225"/>
    </row>
    <row r="388">
      <c r="B388" s="225"/>
      <c r="C388" s="225"/>
      <c r="D388" s="225"/>
    </row>
    <row r="389">
      <c r="B389" s="225"/>
      <c r="C389" s="225"/>
      <c r="D389" s="225"/>
    </row>
    <row r="390">
      <c r="B390" s="225"/>
      <c r="C390" s="225"/>
      <c r="D390" s="225"/>
    </row>
    <row r="391">
      <c r="B391" s="225"/>
      <c r="C391" s="225"/>
      <c r="D391" s="225"/>
    </row>
    <row r="392">
      <c r="B392" s="225"/>
      <c r="C392" s="225"/>
      <c r="D392" s="225"/>
    </row>
    <row r="393">
      <c r="B393" s="225"/>
      <c r="C393" s="225"/>
      <c r="D393" s="225"/>
    </row>
    <row r="394">
      <c r="B394" s="225"/>
      <c r="C394" s="225"/>
      <c r="D394" s="225"/>
    </row>
    <row r="395">
      <c r="B395" s="225"/>
      <c r="C395" s="225"/>
      <c r="D395" s="225"/>
    </row>
    <row r="396">
      <c r="B396" s="225"/>
      <c r="C396" s="225"/>
      <c r="D396" s="225"/>
    </row>
    <row r="397">
      <c r="B397" s="225"/>
      <c r="C397" s="225"/>
      <c r="D397" s="225"/>
    </row>
    <row r="398">
      <c r="B398" s="225"/>
      <c r="C398" s="225"/>
      <c r="D398" s="225"/>
    </row>
    <row r="399">
      <c r="B399" s="225"/>
      <c r="C399" s="225"/>
      <c r="D399" s="225"/>
    </row>
    <row r="400">
      <c r="B400" s="225"/>
      <c r="C400" s="225"/>
      <c r="D400" s="225"/>
    </row>
    <row r="401">
      <c r="B401" s="225"/>
      <c r="C401" s="225"/>
      <c r="D401" s="225"/>
    </row>
    <row r="402">
      <c r="B402" s="225"/>
      <c r="C402" s="225"/>
      <c r="D402" s="225"/>
    </row>
    <row r="403">
      <c r="B403" s="225"/>
      <c r="C403" s="225"/>
      <c r="D403" s="225"/>
    </row>
    <row r="404">
      <c r="B404" s="225"/>
      <c r="C404" s="225"/>
      <c r="D404" s="225"/>
    </row>
    <row r="405">
      <c r="B405" s="225"/>
      <c r="C405" s="225"/>
      <c r="D405" s="225"/>
    </row>
    <row r="406">
      <c r="B406" s="225"/>
      <c r="C406" s="225"/>
      <c r="D406" s="225"/>
    </row>
    <row r="407">
      <c r="B407" s="225"/>
      <c r="C407" s="225"/>
      <c r="D407" s="225"/>
    </row>
    <row r="408">
      <c r="B408" s="225"/>
      <c r="C408" s="225"/>
      <c r="D408" s="225"/>
    </row>
    <row r="409">
      <c r="B409" s="225"/>
      <c r="C409" s="225"/>
      <c r="D409" s="225"/>
    </row>
    <row r="410">
      <c r="B410" s="225"/>
      <c r="C410" s="225"/>
      <c r="D410" s="225"/>
    </row>
    <row r="411">
      <c r="B411" s="225"/>
      <c r="C411" s="225"/>
      <c r="D411" s="225"/>
    </row>
    <row r="412">
      <c r="B412" s="225"/>
      <c r="C412" s="225"/>
      <c r="D412" s="225"/>
    </row>
    <row r="413">
      <c r="B413" s="225"/>
      <c r="C413" s="225"/>
      <c r="D413" s="225"/>
    </row>
    <row r="414">
      <c r="B414" s="225"/>
      <c r="C414" s="225"/>
      <c r="D414" s="225"/>
    </row>
    <row r="415">
      <c r="B415" s="225"/>
      <c r="C415" s="225"/>
      <c r="D415" s="225"/>
    </row>
    <row r="416">
      <c r="B416" s="225"/>
      <c r="C416" s="225"/>
      <c r="D416" s="225"/>
    </row>
    <row r="417">
      <c r="B417" s="225"/>
      <c r="C417" s="225"/>
      <c r="D417" s="225"/>
    </row>
    <row r="418">
      <c r="B418" s="225"/>
      <c r="C418" s="225"/>
      <c r="D418" s="225"/>
    </row>
    <row r="419">
      <c r="B419" s="225"/>
      <c r="C419" s="225"/>
      <c r="D419" s="225"/>
    </row>
    <row r="420">
      <c r="B420" s="225"/>
      <c r="C420" s="225"/>
      <c r="D420" s="225"/>
    </row>
    <row r="421">
      <c r="B421" s="225"/>
      <c r="C421" s="225"/>
      <c r="D421" s="225"/>
    </row>
    <row r="422">
      <c r="B422" s="225"/>
      <c r="C422" s="225"/>
      <c r="D422" s="225"/>
    </row>
    <row r="423">
      <c r="B423" s="225"/>
      <c r="C423" s="225"/>
      <c r="D423" s="225"/>
    </row>
    <row r="424">
      <c r="B424" s="225"/>
      <c r="C424" s="225"/>
      <c r="D424" s="225"/>
    </row>
    <row r="425">
      <c r="B425" s="225"/>
      <c r="C425" s="225"/>
      <c r="D425" s="225"/>
    </row>
    <row r="426">
      <c r="B426" s="225"/>
      <c r="C426" s="225"/>
      <c r="D426" s="225"/>
    </row>
    <row r="427">
      <c r="B427" s="225"/>
      <c r="C427" s="225"/>
      <c r="D427" s="225"/>
    </row>
    <row r="428">
      <c r="B428" s="225"/>
      <c r="C428" s="225"/>
      <c r="D428" s="225"/>
    </row>
    <row r="429">
      <c r="B429" s="225"/>
      <c r="C429" s="225"/>
      <c r="D429" s="225"/>
    </row>
    <row r="430">
      <c r="B430" s="225"/>
      <c r="C430" s="225"/>
      <c r="D430" s="225"/>
    </row>
    <row r="431">
      <c r="B431" s="225"/>
      <c r="C431" s="225"/>
      <c r="D431" s="225"/>
    </row>
    <row r="432">
      <c r="B432" s="225"/>
      <c r="C432" s="225"/>
      <c r="D432" s="225"/>
    </row>
    <row r="433">
      <c r="B433" s="225"/>
      <c r="C433" s="225"/>
      <c r="D433" s="225"/>
    </row>
    <row r="434">
      <c r="B434" s="225"/>
      <c r="C434" s="225"/>
      <c r="D434" s="225"/>
    </row>
    <row r="435">
      <c r="B435" s="225"/>
      <c r="C435" s="225"/>
      <c r="D435" s="225"/>
    </row>
    <row r="436">
      <c r="B436" s="225"/>
      <c r="C436" s="225"/>
      <c r="D436" s="225"/>
    </row>
    <row r="437">
      <c r="B437" s="225"/>
      <c r="C437" s="225"/>
      <c r="D437" s="225"/>
    </row>
    <row r="438">
      <c r="B438" s="225"/>
      <c r="C438" s="225"/>
      <c r="D438" s="225"/>
    </row>
    <row r="439">
      <c r="B439" s="225"/>
      <c r="C439" s="225"/>
      <c r="D439" s="225"/>
    </row>
    <row r="440">
      <c r="B440" s="225"/>
      <c r="C440" s="225"/>
      <c r="D440" s="225"/>
    </row>
    <row r="441">
      <c r="B441" s="225"/>
      <c r="C441" s="225"/>
      <c r="D441" s="225"/>
    </row>
    <row r="442">
      <c r="B442" s="225"/>
      <c r="C442" s="225"/>
      <c r="D442" s="225"/>
    </row>
    <row r="443">
      <c r="B443" s="225"/>
      <c r="C443" s="225"/>
      <c r="D443" s="225"/>
    </row>
    <row r="444">
      <c r="B444" s="225"/>
      <c r="C444" s="225"/>
      <c r="D444" s="225"/>
    </row>
    <row r="445">
      <c r="B445" s="225"/>
      <c r="C445" s="225"/>
      <c r="D445" s="225"/>
    </row>
    <row r="446">
      <c r="B446" s="225"/>
      <c r="C446" s="225"/>
      <c r="D446" s="225"/>
    </row>
    <row r="447">
      <c r="B447" s="225"/>
      <c r="C447" s="225"/>
      <c r="D447" s="225"/>
    </row>
    <row r="448">
      <c r="B448" s="225"/>
      <c r="C448" s="225"/>
      <c r="D448" s="225"/>
    </row>
    <row r="449">
      <c r="B449" s="225"/>
      <c r="C449" s="225"/>
      <c r="D449" s="225"/>
    </row>
    <row r="450">
      <c r="B450" s="225"/>
      <c r="C450" s="225"/>
      <c r="D450" s="225"/>
    </row>
    <row r="451">
      <c r="B451" s="225"/>
      <c r="C451" s="225"/>
      <c r="D451" s="225"/>
    </row>
    <row r="452">
      <c r="B452" s="225"/>
      <c r="C452" s="225"/>
      <c r="D452" s="225"/>
    </row>
    <row r="453">
      <c r="B453" s="225"/>
      <c r="C453" s="225"/>
      <c r="D453" s="225"/>
    </row>
    <row r="454">
      <c r="B454" s="225"/>
      <c r="C454" s="225"/>
      <c r="D454" s="225"/>
    </row>
    <row r="455">
      <c r="B455" s="225"/>
      <c r="C455" s="225"/>
      <c r="D455" s="225"/>
    </row>
    <row r="456">
      <c r="B456" s="225"/>
      <c r="C456" s="225"/>
      <c r="D456" s="225"/>
    </row>
    <row r="457">
      <c r="B457" s="225"/>
      <c r="C457" s="225"/>
      <c r="D457" s="225"/>
    </row>
    <row r="458">
      <c r="B458" s="225"/>
      <c r="C458" s="225"/>
      <c r="D458" s="225"/>
    </row>
    <row r="459">
      <c r="B459" s="225"/>
      <c r="C459" s="225"/>
      <c r="D459" s="225"/>
    </row>
    <row r="460">
      <c r="B460" s="225"/>
      <c r="C460" s="225"/>
      <c r="D460" s="225"/>
    </row>
    <row r="461">
      <c r="B461" s="225"/>
      <c r="C461" s="225"/>
      <c r="D461" s="225"/>
    </row>
    <row r="462">
      <c r="B462" s="225"/>
      <c r="C462" s="225"/>
      <c r="D462" s="225"/>
    </row>
    <row r="463">
      <c r="B463" s="225"/>
      <c r="C463" s="225"/>
      <c r="D463" s="225"/>
    </row>
    <row r="464">
      <c r="B464" s="225"/>
      <c r="C464" s="225"/>
      <c r="D464" s="225"/>
    </row>
    <row r="465">
      <c r="B465" s="225"/>
      <c r="C465" s="225"/>
      <c r="D465" s="225"/>
    </row>
    <row r="466">
      <c r="B466" s="225"/>
      <c r="C466" s="225"/>
      <c r="D466" s="225"/>
    </row>
    <row r="467">
      <c r="B467" s="225"/>
      <c r="C467" s="225"/>
      <c r="D467" s="225"/>
    </row>
    <row r="468">
      <c r="B468" s="225"/>
      <c r="C468" s="225"/>
      <c r="D468" s="225"/>
    </row>
    <row r="469">
      <c r="B469" s="225"/>
      <c r="C469" s="225"/>
      <c r="D469" s="225"/>
    </row>
    <row r="470">
      <c r="B470" s="225"/>
      <c r="C470" s="225"/>
      <c r="D470" s="225"/>
    </row>
    <row r="471">
      <c r="B471" s="225"/>
      <c r="C471" s="225"/>
      <c r="D471" s="225"/>
    </row>
    <row r="472">
      <c r="B472" s="225"/>
      <c r="C472" s="225"/>
      <c r="D472" s="225"/>
    </row>
    <row r="473">
      <c r="B473" s="225"/>
      <c r="C473" s="225"/>
      <c r="D473" s="225"/>
    </row>
    <row r="474">
      <c r="B474" s="225"/>
      <c r="C474" s="225"/>
      <c r="D474" s="225"/>
    </row>
    <row r="475">
      <c r="B475" s="225"/>
      <c r="C475" s="225"/>
      <c r="D475" s="225"/>
    </row>
    <row r="476">
      <c r="B476" s="225"/>
      <c r="C476" s="225"/>
      <c r="D476" s="225"/>
    </row>
    <row r="477">
      <c r="B477" s="225"/>
      <c r="C477" s="225"/>
      <c r="D477" s="225"/>
    </row>
    <row r="478">
      <c r="B478" s="225"/>
      <c r="C478" s="225"/>
      <c r="D478" s="225"/>
    </row>
    <row r="479">
      <c r="B479" s="225"/>
      <c r="C479" s="225"/>
      <c r="D479" s="225"/>
    </row>
    <row r="480">
      <c r="B480" s="225"/>
      <c r="C480" s="225"/>
      <c r="D480" s="225"/>
    </row>
    <row r="481">
      <c r="B481" s="225"/>
      <c r="C481" s="225"/>
      <c r="D481" s="225"/>
    </row>
    <row r="482">
      <c r="B482" s="225"/>
      <c r="C482" s="225"/>
      <c r="D482" s="225"/>
    </row>
    <row r="483">
      <c r="B483" s="225"/>
      <c r="C483" s="225"/>
      <c r="D483" s="225"/>
    </row>
    <row r="484">
      <c r="B484" s="225"/>
      <c r="C484" s="225"/>
      <c r="D484" s="225"/>
    </row>
    <row r="485">
      <c r="B485" s="225"/>
      <c r="C485" s="225"/>
      <c r="D485" s="225"/>
    </row>
    <row r="486">
      <c r="B486" s="225"/>
      <c r="C486" s="225"/>
      <c r="D486" s="225"/>
    </row>
    <row r="487">
      <c r="B487" s="225"/>
      <c r="C487" s="225"/>
      <c r="D487" s="225"/>
    </row>
    <row r="488">
      <c r="B488" s="225"/>
      <c r="C488" s="225"/>
      <c r="D488" s="225"/>
    </row>
    <row r="489">
      <c r="B489" s="225"/>
      <c r="C489" s="225"/>
      <c r="D489" s="225"/>
    </row>
    <row r="490">
      <c r="B490" s="225"/>
      <c r="C490" s="225"/>
      <c r="D490" s="225"/>
    </row>
    <row r="491">
      <c r="B491" s="225"/>
      <c r="C491" s="225"/>
      <c r="D491" s="225"/>
    </row>
    <row r="492">
      <c r="B492" s="225"/>
      <c r="C492" s="225"/>
      <c r="D492" s="225"/>
    </row>
    <row r="493">
      <c r="B493" s="225"/>
      <c r="C493" s="225"/>
      <c r="D493" s="225"/>
    </row>
    <row r="494">
      <c r="B494" s="225"/>
      <c r="C494" s="225"/>
      <c r="D494" s="225"/>
    </row>
    <row r="495">
      <c r="B495" s="225"/>
      <c r="C495" s="225"/>
      <c r="D495" s="225"/>
    </row>
    <row r="496">
      <c r="B496" s="225"/>
      <c r="C496" s="225"/>
      <c r="D496" s="225"/>
    </row>
    <row r="497">
      <c r="B497" s="225"/>
      <c r="C497" s="225"/>
      <c r="D497" s="225"/>
    </row>
    <row r="498">
      <c r="B498" s="225"/>
      <c r="C498" s="225"/>
      <c r="D498" s="225"/>
    </row>
    <row r="499">
      <c r="B499" s="225"/>
      <c r="C499" s="225"/>
      <c r="D499" s="225"/>
    </row>
    <row r="500">
      <c r="B500" s="225"/>
      <c r="C500" s="225"/>
      <c r="D500" s="225"/>
    </row>
    <row r="501">
      <c r="B501" s="225"/>
      <c r="C501" s="225"/>
      <c r="D501" s="225"/>
    </row>
    <row r="502">
      <c r="B502" s="225"/>
      <c r="C502" s="225"/>
      <c r="D502" s="225"/>
    </row>
    <row r="503">
      <c r="B503" s="225"/>
      <c r="C503" s="225"/>
      <c r="D503" s="225"/>
    </row>
    <row r="504">
      <c r="B504" s="225"/>
      <c r="C504" s="225"/>
      <c r="D504" s="225"/>
    </row>
    <row r="505">
      <c r="B505" s="225"/>
      <c r="C505" s="225"/>
      <c r="D505" s="225"/>
    </row>
    <row r="506">
      <c r="B506" s="225"/>
      <c r="C506" s="225"/>
      <c r="D506" s="225"/>
    </row>
    <row r="507">
      <c r="B507" s="225"/>
      <c r="C507" s="225"/>
      <c r="D507" s="225"/>
    </row>
    <row r="508">
      <c r="B508" s="225"/>
      <c r="C508" s="225"/>
      <c r="D508" s="225"/>
    </row>
    <row r="509">
      <c r="B509" s="225"/>
      <c r="C509" s="225"/>
      <c r="D509" s="225"/>
    </row>
    <row r="510">
      <c r="B510" s="225"/>
      <c r="C510" s="225"/>
      <c r="D510" s="225"/>
    </row>
    <row r="511">
      <c r="B511" s="225"/>
      <c r="C511" s="225"/>
      <c r="D511" s="225"/>
    </row>
    <row r="512">
      <c r="B512" s="225"/>
      <c r="C512" s="225"/>
      <c r="D512" s="225"/>
    </row>
    <row r="513">
      <c r="B513" s="225"/>
      <c r="C513" s="225"/>
      <c r="D513" s="225"/>
    </row>
    <row r="514">
      <c r="B514" s="225"/>
      <c r="C514" s="225"/>
      <c r="D514" s="225"/>
    </row>
    <row r="515">
      <c r="B515" s="225"/>
      <c r="C515" s="225"/>
      <c r="D515" s="225"/>
    </row>
    <row r="516">
      <c r="B516" s="225"/>
      <c r="C516" s="225"/>
      <c r="D516" s="225"/>
    </row>
    <row r="517">
      <c r="B517" s="225"/>
      <c r="C517" s="225"/>
      <c r="D517" s="225"/>
    </row>
    <row r="518">
      <c r="B518" s="225"/>
      <c r="C518" s="225"/>
      <c r="D518" s="225"/>
    </row>
    <row r="519">
      <c r="B519" s="225"/>
      <c r="C519" s="225"/>
      <c r="D519" s="225"/>
    </row>
    <row r="520">
      <c r="B520" s="225"/>
      <c r="C520" s="225"/>
      <c r="D520" s="225"/>
    </row>
    <row r="521">
      <c r="B521" s="225"/>
      <c r="C521" s="225"/>
      <c r="D521" s="225"/>
    </row>
    <row r="522">
      <c r="B522" s="225"/>
      <c r="C522" s="225"/>
      <c r="D522" s="225"/>
    </row>
    <row r="523">
      <c r="B523" s="225"/>
      <c r="C523" s="225"/>
      <c r="D523" s="225"/>
    </row>
    <row r="524">
      <c r="B524" s="225"/>
      <c r="C524" s="225"/>
      <c r="D524" s="225"/>
    </row>
    <row r="525">
      <c r="B525" s="225"/>
      <c r="C525" s="225"/>
      <c r="D525" s="225"/>
    </row>
    <row r="526">
      <c r="B526" s="225"/>
      <c r="C526" s="225"/>
      <c r="D526" s="225"/>
    </row>
    <row r="527">
      <c r="B527" s="225"/>
      <c r="C527" s="225"/>
      <c r="D527" s="225"/>
    </row>
    <row r="528">
      <c r="B528" s="225"/>
      <c r="C528" s="225"/>
      <c r="D528" s="225"/>
    </row>
    <row r="529">
      <c r="B529" s="225"/>
      <c r="C529" s="225"/>
      <c r="D529" s="225"/>
    </row>
    <row r="530">
      <c r="B530" s="225"/>
      <c r="C530" s="225"/>
      <c r="D530" s="225"/>
    </row>
    <row r="531">
      <c r="B531" s="225"/>
      <c r="C531" s="225"/>
      <c r="D531" s="225"/>
    </row>
    <row r="532">
      <c r="B532" s="225"/>
      <c r="C532" s="225"/>
      <c r="D532" s="225"/>
    </row>
    <row r="533">
      <c r="B533" s="225"/>
      <c r="C533" s="225"/>
      <c r="D533" s="225"/>
    </row>
    <row r="534">
      <c r="B534" s="225"/>
      <c r="C534" s="225"/>
      <c r="D534" s="225"/>
    </row>
    <row r="535">
      <c r="B535" s="225"/>
      <c r="C535" s="225"/>
      <c r="D535" s="225"/>
    </row>
    <row r="536">
      <c r="B536" s="225"/>
      <c r="C536" s="225"/>
      <c r="D536" s="225"/>
    </row>
    <row r="537">
      <c r="B537" s="225"/>
      <c r="C537" s="225"/>
      <c r="D537" s="225"/>
    </row>
    <row r="538">
      <c r="B538" s="225"/>
      <c r="C538" s="225"/>
      <c r="D538" s="225"/>
    </row>
    <row r="539">
      <c r="B539" s="225"/>
      <c r="C539" s="225"/>
      <c r="D539" s="225"/>
    </row>
    <row r="540">
      <c r="B540" s="225"/>
      <c r="C540" s="225"/>
      <c r="D540" s="225"/>
    </row>
    <row r="541">
      <c r="B541" s="225"/>
      <c r="C541" s="225"/>
      <c r="D541" s="225"/>
    </row>
    <row r="542">
      <c r="B542" s="225"/>
      <c r="C542" s="225"/>
      <c r="D542" s="225"/>
    </row>
    <row r="543">
      <c r="B543" s="225"/>
      <c r="C543" s="225"/>
      <c r="D543" s="225"/>
    </row>
    <row r="544">
      <c r="B544" s="225"/>
      <c r="C544" s="225"/>
      <c r="D544" s="225"/>
    </row>
    <row r="545">
      <c r="B545" s="225"/>
      <c r="C545" s="225"/>
      <c r="D545" s="225"/>
    </row>
    <row r="546">
      <c r="B546" s="225"/>
      <c r="C546" s="225"/>
      <c r="D546" s="225"/>
    </row>
    <row r="547">
      <c r="B547" s="225"/>
      <c r="C547" s="225"/>
      <c r="D547" s="225"/>
    </row>
    <row r="548">
      <c r="B548" s="225"/>
      <c r="C548" s="225"/>
      <c r="D548" s="225"/>
    </row>
    <row r="549">
      <c r="B549" s="225"/>
      <c r="C549" s="225"/>
      <c r="D549" s="225"/>
    </row>
    <row r="550">
      <c r="B550" s="225"/>
      <c r="C550" s="225"/>
      <c r="D550" s="225"/>
    </row>
    <row r="551">
      <c r="B551" s="225"/>
      <c r="C551" s="225"/>
      <c r="D551" s="225"/>
    </row>
    <row r="552">
      <c r="B552" s="225"/>
      <c r="C552" s="225"/>
      <c r="D552" s="225"/>
    </row>
    <row r="553">
      <c r="B553" s="225"/>
      <c r="C553" s="225"/>
      <c r="D553" s="225"/>
    </row>
    <row r="554">
      <c r="B554" s="225"/>
      <c r="C554" s="225"/>
      <c r="D554" s="225"/>
    </row>
    <row r="555">
      <c r="B555" s="225"/>
      <c r="C555" s="225"/>
      <c r="D555" s="225"/>
    </row>
    <row r="556">
      <c r="B556" s="225"/>
      <c r="C556" s="225"/>
      <c r="D556" s="225"/>
    </row>
    <row r="557">
      <c r="B557" s="225"/>
      <c r="C557" s="225"/>
      <c r="D557" s="225"/>
    </row>
    <row r="558">
      <c r="B558" s="225"/>
      <c r="C558" s="225"/>
      <c r="D558" s="225"/>
    </row>
    <row r="559">
      <c r="B559" s="225"/>
      <c r="C559" s="225"/>
      <c r="D559" s="225"/>
    </row>
    <row r="560">
      <c r="B560" s="225"/>
      <c r="C560" s="225"/>
      <c r="D560" s="225"/>
    </row>
    <row r="561">
      <c r="B561" s="225"/>
      <c r="C561" s="225"/>
      <c r="D561" s="225"/>
    </row>
    <row r="562">
      <c r="B562" s="225"/>
      <c r="C562" s="225"/>
      <c r="D562" s="225"/>
    </row>
    <row r="563">
      <c r="B563" s="225"/>
      <c r="C563" s="225"/>
      <c r="D563" s="225"/>
    </row>
    <row r="564">
      <c r="B564" s="225"/>
      <c r="C564" s="225"/>
      <c r="D564" s="225"/>
    </row>
    <row r="565">
      <c r="B565" s="225"/>
      <c r="C565" s="225"/>
      <c r="D565" s="225"/>
    </row>
    <row r="566">
      <c r="B566" s="225"/>
      <c r="C566" s="225"/>
      <c r="D566" s="225"/>
    </row>
    <row r="567">
      <c r="B567" s="225"/>
      <c r="C567" s="225"/>
      <c r="D567" s="225"/>
    </row>
    <row r="568">
      <c r="B568" s="225"/>
      <c r="C568" s="225"/>
      <c r="D568" s="225"/>
    </row>
    <row r="569">
      <c r="B569" s="225"/>
      <c r="C569" s="225"/>
      <c r="D569" s="225"/>
    </row>
    <row r="570">
      <c r="B570" s="225"/>
      <c r="C570" s="225"/>
      <c r="D570" s="225"/>
    </row>
    <row r="571">
      <c r="B571" s="225"/>
      <c r="C571" s="225"/>
      <c r="D571" s="225"/>
    </row>
    <row r="572">
      <c r="B572" s="225"/>
      <c r="C572" s="225"/>
      <c r="D572" s="225"/>
    </row>
    <row r="573">
      <c r="B573" s="225"/>
      <c r="C573" s="225"/>
      <c r="D573" s="225"/>
    </row>
    <row r="574">
      <c r="B574" s="225"/>
      <c r="C574" s="225"/>
      <c r="D574" s="225"/>
    </row>
    <row r="575">
      <c r="B575" s="225"/>
      <c r="C575" s="225"/>
      <c r="D575" s="225"/>
    </row>
    <row r="576">
      <c r="B576" s="225"/>
      <c r="C576" s="225"/>
      <c r="D576" s="225"/>
    </row>
    <row r="577">
      <c r="B577" s="225"/>
      <c r="C577" s="225"/>
      <c r="D577" s="225"/>
    </row>
    <row r="578">
      <c r="B578" s="225"/>
      <c r="C578" s="225"/>
      <c r="D578" s="225"/>
    </row>
    <row r="579">
      <c r="B579" s="225"/>
      <c r="C579" s="225"/>
      <c r="D579" s="225"/>
    </row>
    <row r="580">
      <c r="B580" s="225"/>
      <c r="C580" s="225"/>
      <c r="D580" s="225"/>
    </row>
    <row r="581">
      <c r="B581" s="225"/>
      <c r="C581" s="225"/>
      <c r="D581" s="225"/>
    </row>
    <row r="582">
      <c r="B582" s="225"/>
      <c r="C582" s="225"/>
      <c r="D582" s="225"/>
    </row>
    <row r="583">
      <c r="B583" s="225"/>
      <c r="C583" s="225"/>
      <c r="D583" s="225"/>
    </row>
    <row r="584">
      <c r="B584" s="225"/>
      <c r="C584" s="225"/>
      <c r="D584" s="225"/>
    </row>
    <row r="585">
      <c r="B585" s="225"/>
      <c r="C585" s="225"/>
      <c r="D585" s="225"/>
    </row>
    <row r="586">
      <c r="B586" s="225"/>
      <c r="C586" s="225"/>
      <c r="D586" s="225"/>
    </row>
    <row r="587">
      <c r="B587" s="225"/>
      <c r="C587" s="225"/>
      <c r="D587" s="225"/>
    </row>
    <row r="588">
      <c r="B588" s="225"/>
      <c r="C588" s="225"/>
      <c r="D588" s="225"/>
    </row>
    <row r="589">
      <c r="B589" s="225"/>
      <c r="C589" s="225"/>
      <c r="D589" s="225"/>
    </row>
    <row r="590">
      <c r="B590" s="225"/>
      <c r="C590" s="225"/>
      <c r="D590" s="225"/>
    </row>
    <row r="591">
      <c r="B591" s="225"/>
      <c r="C591" s="225"/>
      <c r="D591" s="225"/>
    </row>
    <row r="592">
      <c r="B592" s="225"/>
      <c r="C592" s="225"/>
      <c r="D592" s="225"/>
    </row>
    <row r="593">
      <c r="B593" s="225"/>
      <c r="C593" s="225"/>
      <c r="D593" s="225"/>
    </row>
    <row r="594">
      <c r="B594" s="225"/>
      <c r="C594" s="225"/>
      <c r="D594" s="225"/>
    </row>
    <row r="595">
      <c r="B595" s="225"/>
      <c r="C595" s="225"/>
      <c r="D595" s="225"/>
    </row>
    <row r="596">
      <c r="B596" s="225"/>
      <c r="C596" s="225"/>
      <c r="D596" s="225"/>
    </row>
    <row r="597">
      <c r="B597" s="225"/>
      <c r="C597" s="225"/>
      <c r="D597" s="225"/>
    </row>
    <row r="598">
      <c r="B598" s="225"/>
      <c r="C598" s="225"/>
      <c r="D598" s="225"/>
    </row>
    <row r="599">
      <c r="B599" s="225"/>
      <c r="C599" s="225"/>
      <c r="D599" s="225"/>
    </row>
    <row r="600">
      <c r="B600" s="225"/>
      <c r="C600" s="225"/>
      <c r="D600" s="225"/>
    </row>
    <row r="601">
      <c r="B601" s="225"/>
      <c r="C601" s="225"/>
      <c r="D601" s="225"/>
    </row>
    <row r="602">
      <c r="B602" s="225"/>
      <c r="C602" s="225"/>
      <c r="D602" s="225"/>
    </row>
    <row r="603">
      <c r="B603" s="225"/>
      <c r="C603" s="225"/>
      <c r="D603" s="225"/>
    </row>
    <row r="604">
      <c r="B604" s="225"/>
      <c r="C604" s="225"/>
      <c r="D604" s="225"/>
    </row>
    <row r="605">
      <c r="B605" s="225"/>
      <c r="C605" s="225"/>
      <c r="D605" s="225"/>
    </row>
    <row r="606">
      <c r="B606" s="225"/>
      <c r="C606" s="225"/>
      <c r="D606" s="225"/>
    </row>
    <row r="607">
      <c r="B607" s="225"/>
      <c r="C607" s="225"/>
      <c r="D607" s="225"/>
    </row>
    <row r="608">
      <c r="B608" s="225"/>
      <c r="C608" s="225"/>
      <c r="D608" s="225"/>
    </row>
    <row r="609">
      <c r="B609" s="225"/>
      <c r="C609" s="225"/>
      <c r="D609" s="225"/>
    </row>
    <row r="610">
      <c r="B610" s="225"/>
      <c r="C610" s="225"/>
      <c r="D610" s="225"/>
    </row>
    <row r="611">
      <c r="B611" s="225"/>
      <c r="C611" s="225"/>
      <c r="D611" s="225"/>
    </row>
    <row r="612">
      <c r="B612" s="225"/>
      <c r="C612" s="225"/>
      <c r="D612" s="225"/>
    </row>
    <row r="613">
      <c r="B613" s="225"/>
      <c r="C613" s="225"/>
      <c r="D613" s="225"/>
    </row>
    <row r="614">
      <c r="B614" s="225"/>
      <c r="C614" s="225"/>
      <c r="D614" s="225"/>
    </row>
    <row r="615">
      <c r="B615" s="225"/>
      <c r="C615" s="225"/>
      <c r="D615" s="225"/>
    </row>
    <row r="616">
      <c r="B616" s="225"/>
      <c r="C616" s="225"/>
      <c r="D616" s="225"/>
    </row>
    <row r="617">
      <c r="B617" s="225"/>
      <c r="C617" s="225"/>
      <c r="D617" s="225"/>
    </row>
    <row r="618">
      <c r="B618" s="225"/>
      <c r="C618" s="225"/>
      <c r="D618" s="225"/>
    </row>
    <row r="619">
      <c r="B619" s="225"/>
      <c r="C619" s="225"/>
      <c r="D619" s="225"/>
    </row>
    <row r="620">
      <c r="B620" s="225"/>
      <c r="C620" s="225"/>
      <c r="D620" s="225"/>
    </row>
    <row r="621">
      <c r="B621" s="225"/>
      <c r="C621" s="225"/>
      <c r="D621" s="225"/>
    </row>
    <row r="622">
      <c r="B622" s="225"/>
      <c r="C622" s="225"/>
      <c r="D622" s="225"/>
    </row>
    <row r="623">
      <c r="B623" s="225"/>
      <c r="C623" s="225"/>
      <c r="D623" s="225"/>
    </row>
    <row r="624">
      <c r="B624" s="225"/>
      <c r="C624" s="225"/>
      <c r="D624" s="225"/>
    </row>
    <row r="625">
      <c r="B625" s="225"/>
      <c r="C625" s="225"/>
      <c r="D625" s="225"/>
    </row>
    <row r="626">
      <c r="B626" s="225"/>
      <c r="C626" s="225"/>
      <c r="D626" s="225"/>
    </row>
    <row r="627">
      <c r="B627" s="225"/>
      <c r="C627" s="225"/>
      <c r="D627" s="225"/>
    </row>
    <row r="628">
      <c r="B628" s="225"/>
      <c r="C628" s="225"/>
      <c r="D628" s="225"/>
    </row>
    <row r="629">
      <c r="B629" s="225"/>
      <c r="C629" s="225"/>
      <c r="D629" s="225"/>
    </row>
    <row r="630">
      <c r="B630" s="225"/>
      <c r="C630" s="225"/>
      <c r="D630" s="225"/>
    </row>
    <row r="631">
      <c r="B631" s="225"/>
      <c r="C631" s="225"/>
      <c r="D631" s="225"/>
    </row>
    <row r="632">
      <c r="B632" s="225"/>
      <c r="C632" s="225"/>
      <c r="D632" s="225"/>
    </row>
    <row r="633">
      <c r="B633" s="225"/>
      <c r="C633" s="225"/>
      <c r="D633" s="225"/>
    </row>
    <row r="634">
      <c r="B634" s="225"/>
      <c r="C634" s="225"/>
      <c r="D634" s="225"/>
    </row>
    <row r="635">
      <c r="B635" s="225"/>
      <c r="C635" s="225"/>
      <c r="D635" s="225"/>
    </row>
    <row r="636">
      <c r="B636" s="225"/>
      <c r="C636" s="225"/>
      <c r="D636" s="225"/>
    </row>
    <row r="637">
      <c r="B637" s="225"/>
      <c r="C637" s="225"/>
      <c r="D637" s="225"/>
    </row>
    <row r="638">
      <c r="B638" s="225"/>
      <c r="C638" s="225"/>
      <c r="D638" s="225"/>
    </row>
    <row r="639">
      <c r="B639" s="225"/>
      <c r="C639" s="225"/>
      <c r="D639" s="225"/>
    </row>
    <row r="640">
      <c r="B640" s="225"/>
      <c r="C640" s="225"/>
      <c r="D640" s="225"/>
    </row>
    <row r="641">
      <c r="B641" s="225"/>
      <c r="C641" s="225"/>
      <c r="D641" s="225"/>
    </row>
    <row r="642">
      <c r="B642" s="225"/>
      <c r="C642" s="225"/>
      <c r="D642" s="225"/>
    </row>
    <row r="643">
      <c r="B643" s="225"/>
      <c r="C643" s="225"/>
      <c r="D643" s="225"/>
    </row>
    <row r="644">
      <c r="B644" s="225"/>
      <c r="C644" s="225"/>
      <c r="D644" s="225"/>
    </row>
    <row r="645">
      <c r="B645" s="225"/>
      <c r="C645" s="225"/>
      <c r="D645" s="225"/>
    </row>
    <row r="646">
      <c r="B646" s="225"/>
      <c r="C646" s="225"/>
      <c r="D646" s="225"/>
    </row>
    <row r="647">
      <c r="B647" s="225"/>
      <c r="C647" s="225"/>
      <c r="D647" s="225"/>
    </row>
    <row r="648">
      <c r="B648" s="225"/>
      <c r="C648" s="225"/>
      <c r="D648" s="225"/>
    </row>
    <row r="649">
      <c r="B649" s="225"/>
      <c r="C649" s="225"/>
      <c r="D649" s="225"/>
    </row>
    <row r="650">
      <c r="B650" s="225"/>
      <c r="C650" s="225"/>
      <c r="D650" s="225"/>
    </row>
    <row r="651">
      <c r="B651" s="225"/>
      <c r="C651" s="225"/>
      <c r="D651" s="225"/>
    </row>
    <row r="652">
      <c r="B652" s="225"/>
      <c r="C652" s="225"/>
      <c r="D652" s="225"/>
    </row>
    <row r="653">
      <c r="B653" s="225"/>
      <c r="C653" s="225"/>
      <c r="D653" s="225"/>
    </row>
    <row r="654">
      <c r="B654" s="225"/>
      <c r="C654" s="225"/>
      <c r="D654" s="225"/>
    </row>
    <row r="655">
      <c r="B655" s="225"/>
      <c r="C655" s="225"/>
      <c r="D655" s="225"/>
    </row>
    <row r="656">
      <c r="B656" s="225"/>
      <c r="C656" s="225"/>
      <c r="D656" s="225"/>
    </row>
    <row r="657">
      <c r="B657" s="225"/>
      <c r="C657" s="225"/>
      <c r="D657" s="225"/>
    </row>
    <row r="658">
      <c r="B658" s="225"/>
      <c r="C658" s="225"/>
      <c r="D658" s="225"/>
    </row>
    <row r="659">
      <c r="B659" s="225"/>
      <c r="C659" s="225"/>
      <c r="D659" s="225"/>
    </row>
    <row r="660">
      <c r="B660" s="225"/>
      <c r="C660" s="225"/>
      <c r="D660" s="225"/>
    </row>
    <row r="661">
      <c r="B661" s="225"/>
      <c r="C661" s="225"/>
      <c r="D661" s="225"/>
    </row>
    <row r="662">
      <c r="B662" s="225"/>
      <c r="C662" s="225"/>
      <c r="D662" s="225"/>
    </row>
    <row r="663">
      <c r="B663" s="225"/>
      <c r="C663" s="225"/>
      <c r="D663" s="225"/>
    </row>
    <row r="664">
      <c r="B664" s="225"/>
      <c r="C664" s="225"/>
      <c r="D664" s="225"/>
    </row>
    <row r="665">
      <c r="B665" s="225"/>
      <c r="C665" s="225"/>
      <c r="D665" s="225"/>
    </row>
    <row r="666">
      <c r="B666" s="225"/>
      <c r="C666" s="225"/>
      <c r="D666" s="225"/>
    </row>
    <row r="667">
      <c r="B667" s="225"/>
      <c r="C667" s="225"/>
      <c r="D667" s="225"/>
    </row>
    <row r="668">
      <c r="B668" s="225"/>
      <c r="C668" s="225"/>
      <c r="D668" s="225"/>
    </row>
    <row r="669">
      <c r="B669" s="225"/>
      <c r="C669" s="225"/>
      <c r="D669" s="225"/>
    </row>
    <row r="670">
      <c r="B670" s="225"/>
      <c r="C670" s="225"/>
      <c r="D670" s="225"/>
    </row>
    <row r="671">
      <c r="B671" s="225"/>
      <c r="C671" s="225"/>
      <c r="D671" s="225"/>
    </row>
    <row r="672">
      <c r="B672" s="225"/>
      <c r="C672" s="225"/>
      <c r="D672" s="225"/>
    </row>
    <row r="673">
      <c r="B673" s="225"/>
      <c r="C673" s="225"/>
      <c r="D673" s="225"/>
    </row>
    <row r="674">
      <c r="B674" s="225"/>
      <c r="C674" s="225"/>
      <c r="D674" s="225"/>
    </row>
    <row r="675">
      <c r="B675" s="225"/>
      <c r="C675" s="225"/>
      <c r="D675" s="225"/>
    </row>
    <row r="676">
      <c r="B676" s="225"/>
      <c r="C676" s="225"/>
      <c r="D676" s="225"/>
    </row>
    <row r="677">
      <c r="B677" s="225"/>
      <c r="C677" s="225"/>
      <c r="D677" s="225"/>
    </row>
    <row r="678">
      <c r="B678" s="225"/>
      <c r="C678" s="225"/>
      <c r="D678" s="225"/>
    </row>
    <row r="679">
      <c r="B679" s="225"/>
      <c r="C679" s="225"/>
      <c r="D679" s="225"/>
    </row>
    <row r="680">
      <c r="B680" s="225"/>
      <c r="C680" s="225"/>
      <c r="D680" s="225"/>
    </row>
    <row r="681">
      <c r="B681" s="225"/>
      <c r="C681" s="225"/>
      <c r="D681" s="225"/>
    </row>
    <row r="682">
      <c r="B682" s="225"/>
      <c r="C682" s="225"/>
      <c r="D682" s="225"/>
    </row>
    <row r="683">
      <c r="B683" s="225"/>
      <c r="C683" s="225"/>
      <c r="D683" s="225"/>
    </row>
    <row r="684">
      <c r="B684" s="225"/>
      <c r="C684" s="225"/>
      <c r="D684" s="225"/>
    </row>
    <row r="685">
      <c r="B685" s="225"/>
      <c r="C685" s="225"/>
      <c r="D685" s="225"/>
    </row>
    <row r="686">
      <c r="B686" s="225"/>
      <c r="C686" s="225"/>
      <c r="D686" s="225"/>
    </row>
    <row r="687">
      <c r="B687" s="225"/>
      <c r="C687" s="225"/>
      <c r="D687" s="225"/>
    </row>
    <row r="688">
      <c r="B688" s="225"/>
      <c r="C688" s="225"/>
      <c r="D688" s="225"/>
    </row>
    <row r="689">
      <c r="B689" s="225"/>
      <c r="C689" s="225"/>
      <c r="D689" s="225"/>
    </row>
    <row r="690">
      <c r="B690" s="225"/>
      <c r="C690" s="225"/>
      <c r="D690" s="225"/>
    </row>
    <row r="691">
      <c r="B691" s="225"/>
      <c r="C691" s="225"/>
      <c r="D691" s="225"/>
    </row>
    <row r="692">
      <c r="B692" s="225"/>
      <c r="C692" s="225"/>
      <c r="D692" s="225"/>
    </row>
    <row r="693">
      <c r="B693" s="225"/>
      <c r="C693" s="225"/>
      <c r="D693" s="225"/>
    </row>
    <row r="694">
      <c r="B694" s="225"/>
      <c r="C694" s="225"/>
      <c r="D694" s="225"/>
    </row>
    <row r="695">
      <c r="B695" s="225"/>
      <c r="C695" s="225"/>
      <c r="D695" s="225"/>
    </row>
    <row r="696">
      <c r="B696" s="225"/>
      <c r="C696" s="225"/>
      <c r="D696" s="225"/>
    </row>
    <row r="697">
      <c r="B697" s="225"/>
      <c r="C697" s="225"/>
      <c r="D697" s="225"/>
    </row>
    <row r="698">
      <c r="B698" s="225"/>
      <c r="C698" s="225"/>
      <c r="D698" s="225"/>
    </row>
    <row r="699">
      <c r="B699" s="225"/>
      <c r="C699" s="225"/>
      <c r="D699" s="225"/>
    </row>
    <row r="700">
      <c r="B700" s="225"/>
      <c r="C700" s="225"/>
      <c r="D700" s="225"/>
    </row>
    <row r="701">
      <c r="B701" s="225"/>
      <c r="C701" s="225"/>
      <c r="D701" s="225"/>
    </row>
    <row r="702">
      <c r="B702" s="225"/>
      <c r="C702" s="225"/>
      <c r="D702" s="225"/>
    </row>
    <row r="703">
      <c r="B703" s="225"/>
      <c r="C703" s="225"/>
      <c r="D703" s="225"/>
    </row>
    <row r="704">
      <c r="B704" s="225"/>
      <c r="C704" s="225"/>
      <c r="D704" s="225"/>
    </row>
    <row r="705">
      <c r="B705" s="225"/>
      <c r="C705" s="225"/>
      <c r="D705" s="225"/>
    </row>
    <row r="706">
      <c r="B706" s="225"/>
      <c r="C706" s="225"/>
      <c r="D706" s="225"/>
    </row>
    <row r="707">
      <c r="B707" s="225"/>
      <c r="C707" s="225"/>
      <c r="D707" s="225"/>
    </row>
    <row r="708">
      <c r="B708" s="225"/>
      <c r="C708" s="225"/>
      <c r="D708" s="225"/>
    </row>
    <row r="709">
      <c r="B709" s="225"/>
      <c r="C709" s="225"/>
      <c r="D709" s="225"/>
    </row>
    <row r="710">
      <c r="B710" s="225"/>
      <c r="C710" s="225"/>
      <c r="D710" s="225"/>
    </row>
    <row r="711">
      <c r="B711" s="225"/>
      <c r="C711" s="225"/>
      <c r="D711" s="225"/>
    </row>
    <row r="712">
      <c r="B712" s="225"/>
      <c r="C712" s="225"/>
      <c r="D712" s="225"/>
    </row>
    <row r="713">
      <c r="B713" s="225"/>
      <c r="C713" s="225"/>
      <c r="D713" s="225"/>
    </row>
    <row r="714">
      <c r="B714" s="225"/>
      <c r="C714" s="225"/>
      <c r="D714" s="225"/>
    </row>
    <row r="715">
      <c r="B715" s="225"/>
      <c r="C715" s="225"/>
      <c r="D715" s="225"/>
    </row>
    <row r="716">
      <c r="B716" s="225"/>
      <c r="C716" s="225"/>
      <c r="D716" s="225"/>
    </row>
    <row r="717">
      <c r="B717" s="225"/>
      <c r="C717" s="225"/>
      <c r="D717" s="225"/>
    </row>
    <row r="718">
      <c r="B718" s="225"/>
      <c r="C718" s="225"/>
      <c r="D718" s="225"/>
    </row>
    <row r="719">
      <c r="B719" s="225"/>
      <c r="C719" s="225"/>
      <c r="D719" s="225"/>
    </row>
    <row r="720">
      <c r="B720" s="225"/>
      <c r="C720" s="225"/>
      <c r="D720" s="225"/>
    </row>
    <row r="721">
      <c r="B721" s="225"/>
      <c r="C721" s="225"/>
      <c r="D721" s="225"/>
    </row>
    <row r="722">
      <c r="B722" s="225"/>
      <c r="C722" s="225"/>
      <c r="D722" s="225"/>
    </row>
    <row r="723">
      <c r="B723" s="225"/>
      <c r="C723" s="225"/>
      <c r="D723" s="225"/>
    </row>
    <row r="724">
      <c r="B724" s="225"/>
      <c r="C724" s="225"/>
      <c r="D724" s="225"/>
    </row>
    <row r="725">
      <c r="B725" s="225"/>
      <c r="C725" s="225"/>
      <c r="D725" s="225"/>
    </row>
    <row r="726">
      <c r="B726" s="225"/>
      <c r="C726" s="225"/>
      <c r="D726" s="225"/>
    </row>
    <row r="727">
      <c r="B727" s="225"/>
      <c r="C727" s="225"/>
      <c r="D727" s="225"/>
    </row>
    <row r="728">
      <c r="B728" s="225"/>
      <c r="C728" s="225"/>
      <c r="D728" s="225"/>
    </row>
    <row r="729">
      <c r="B729" s="225"/>
      <c r="C729" s="225"/>
      <c r="D729" s="225"/>
    </row>
    <row r="730">
      <c r="B730" s="225"/>
      <c r="C730" s="225"/>
      <c r="D730" s="225"/>
    </row>
    <row r="731">
      <c r="B731" s="225"/>
      <c r="C731" s="225"/>
      <c r="D731" s="225"/>
    </row>
    <row r="732">
      <c r="B732" s="225"/>
      <c r="C732" s="225"/>
      <c r="D732" s="225"/>
    </row>
    <row r="733">
      <c r="B733" s="225"/>
      <c r="C733" s="225"/>
      <c r="D733" s="225"/>
    </row>
    <row r="734">
      <c r="B734" s="225"/>
      <c r="C734" s="225"/>
      <c r="D734" s="225"/>
    </row>
    <row r="735">
      <c r="B735" s="225"/>
      <c r="C735" s="225"/>
      <c r="D735" s="225"/>
    </row>
    <row r="736">
      <c r="B736" s="225"/>
      <c r="C736" s="225"/>
      <c r="D736" s="225"/>
    </row>
    <row r="737">
      <c r="B737" s="225"/>
      <c r="C737" s="225"/>
      <c r="D737" s="225"/>
    </row>
    <row r="738">
      <c r="B738" s="225"/>
      <c r="C738" s="225"/>
      <c r="D738" s="225"/>
    </row>
    <row r="739">
      <c r="B739" s="225"/>
      <c r="C739" s="225"/>
      <c r="D739" s="225"/>
    </row>
    <row r="740">
      <c r="B740" s="225"/>
      <c r="C740" s="225"/>
      <c r="D740" s="225"/>
    </row>
    <row r="741">
      <c r="B741" s="225"/>
      <c r="C741" s="225"/>
      <c r="D741" s="225"/>
    </row>
    <row r="742">
      <c r="B742" s="225"/>
      <c r="C742" s="225"/>
      <c r="D742" s="225"/>
    </row>
    <row r="743">
      <c r="B743" s="225"/>
      <c r="C743" s="225"/>
      <c r="D743" s="225"/>
    </row>
    <row r="744">
      <c r="B744" s="225"/>
      <c r="C744" s="225"/>
      <c r="D744" s="225"/>
    </row>
    <row r="745">
      <c r="B745" s="225"/>
      <c r="C745" s="225"/>
      <c r="D745" s="225"/>
    </row>
    <row r="746">
      <c r="B746" s="225"/>
      <c r="C746" s="225"/>
      <c r="D746" s="225"/>
    </row>
    <row r="747">
      <c r="B747" s="225"/>
      <c r="C747" s="225"/>
      <c r="D747" s="225"/>
    </row>
    <row r="748">
      <c r="B748" s="225"/>
      <c r="C748" s="225"/>
      <c r="D748" s="225"/>
    </row>
    <row r="749">
      <c r="B749" s="225"/>
      <c r="C749" s="225"/>
      <c r="D749" s="225"/>
    </row>
    <row r="750">
      <c r="B750" s="225"/>
      <c r="C750" s="225"/>
      <c r="D750" s="225"/>
    </row>
    <row r="751">
      <c r="B751" s="225"/>
      <c r="C751" s="225"/>
      <c r="D751" s="225"/>
    </row>
    <row r="752">
      <c r="B752" s="225"/>
      <c r="C752" s="225"/>
      <c r="D752" s="225"/>
    </row>
    <row r="753">
      <c r="B753" s="225"/>
      <c r="C753" s="225"/>
      <c r="D753" s="225"/>
    </row>
    <row r="754">
      <c r="B754" s="225"/>
      <c r="C754" s="225"/>
      <c r="D754" s="225"/>
    </row>
    <row r="755">
      <c r="B755" s="225"/>
      <c r="C755" s="225"/>
      <c r="D755" s="225"/>
    </row>
    <row r="756">
      <c r="B756" s="225"/>
      <c r="C756" s="225"/>
      <c r="D756" s="225"/>
    </row>
    <row r="757">
      <c r="B757" s="225"/>
      <c r="C757" s="225"/>
      <c r="D757" s="225"/>
    </row>
    <row r="758">
      <c r="B758" s="225"/>
      <c r="C758" s="225"/>
      <c r="D758" s="225"/>
    </row>
    <row r="759">
      <c r="B759" s="225"/>
      <c r="C759" s="225"/>
      <c r="D759" s="225"/>
    </row>
    <row r="760">
      <c r="B760" s="225"/>
      <c r="C760" s="225"/>
      <c r="D760" s="225"/>
    </row>
    <row r="761">
      <c r="B761" s="225"/>
      <c r="C761" s="225"/>
      <c r="D761" s="225"/>
    </row>
    <row r="762">
      <c r="B762" s="225"/>
      <c r="C762" s="225"/>
      <c r="D762" s="225"/>
    </row>
    <row r="763">
      <c r="B763" s="225"/>
      <c r="C763" s="225"/>
      <c r="D763" s="225"/>
    </row>
    <row r="764">
      <c r="B764" s="225"/>
      <c r="C764" s="225"/>
      <c r="D764" s="225"/>
    </row>
    <row r="765">
      <c r="B765" s="225"/>
      <c r="C765" s="225"/>
      <c r="D765" s="225"/>
    </row>
    <row r="766">
      <c r="B766" s="225"/>
      <c r="C766" s="225"/>
      <c r="D766" s="225"/>
    </row>
    <row r="767">
      <c r="B767" s="225"/>
      <c r="C767" s="225"/>
      <c r="D767" s="225"/>
    </row>
    <row r="768">
      <c r="B768" s="225"/>
      <c r="C768" s="225"/>
      <c r="D768" s="225"/>
    </row>
    <row r="769">
      <c r="B769" s="225"/>
      <c r="C769" s="225"/>
      <c r="D769" s="225"/>
    </row>
    <row r="770">
      <c r="B770" s="225"/>
      <c r="C770" s="225"/>
      <c r="D770" s="225"/>
    </row>
    <row r="771">
      <c r="B771" s="225"/>
      <c r="C771" s="225"/>
      <c r="D771" s="225"/>
    </row>
    <row r="772">
      <c r="B772" s="225"/>
      <c r="C772" s="225"/>
      <c r="D772" s="225"/>
    </row>
    <row r="773">
      <c r="B773" s="225"/>
      <c r="C773" s="225"/>
      <c r="D773" s="225"/>
    </row>
    <row r="774">
      <c r="B774" s="225"/>
      <c r="C774" s="225"/>
      <c r="D774" s="225"/>
    </row>
    <row r="775">
      <c r="B775" s="225"/>
      <c r="C775" s="225"/>
      <c r="D775" s="225"/>
    </row>
    <row r="776">
      <c r="B776" s="225"/>
      <c r="C776" s="225"/>
      <c r="D776" s="225"/>
    </row>
    <row r="777">
      <c r="B777" s="225"/>
      <c r="C777" s="225"/>
      <c r="D777" s="225"/>
    </row>
    <row r="778">
      <c r="B778" s="225"/>
      <c r="C778" s="225"/>
      <c r="D778" s="225"/>
    </row>
    <row r="779">
      <c r="B779" s="225"/>
      <c r="C779" s="225"/>
      <c r="D779" s="225"/>
    </row>
    <row r="780">
      <c r="B780" s="225"/>
      <c r="C780" s="225"/>
      <c r="D780" s="225"/>
    </row>
    <row r="781">
      <c r="B781" s="225"/>
      <c r="C781" s="225"/>
      <c r="D781" s="225"/>
    </row>
    <row r="782">
      <c r="B782" s="225"/>
      <c r="C782" s="225"/>
      <c r="D782" s="225"/>
    </row>
    <row r="783">
      <c r="B783" s="225"/>
      <c r="C783" s="225"/>
      <c r="D783" s="225"/>
    </row>
    <row r="784">
      <c r="B784" s="225"/>
      <c r="C784" s="225"/>
      <c r="D784" s="225"/>
    </row>
    <row r="785">
      <c r="B785" s="225"/>
      <c r="C785" s="225"/>
      <c r="D785" s="225"/>
    </row>
    <row r="786">
      <c r="B786" s="225"/>
      <c r="C786" s="225"/>
      <c r="D786" s="225"/>
    </row>
    <row r="787">
      <c r="B787" s="225"/>
      <c r="C787" s="225"/>
      <c r="D787" s="225"/>
    </row>
    <row r="788">
      <c r="B788" s="225"/>
      <c r="C788" s="225"/>
      <c r="D788" s="225"/>
    </row>
    <row r="789">
      <c r="B789" s="225"/>
      <c r="C789" s="225"/>
      <c r="D789" s="225"/>
    </row>
    <row r="790">
      <c r="B790" s="225"/>
      <c r="C790" s="225"/>
      <c r="D790" s="225"/>
    </row>
    <row r="791">
      <c r="B791" s="225"/>
      <c r="C791" s="225"/>
      <c r="D791" s="225"/>
    </row>
    <row r="792">
      <c r="B792" s="225"/>
      <c r="C792" s="225"/>
      <c r="D792" s="225"/>
    </row>
    <row r="793">
      <c r="B793" s="225"/>
      <c r="C793" s="225"/>
      <c r="D793" s="225"/>
    </row>
    <row r="794">
      <c r="B794" s="225"/>
      <c r="C794" s="225"/>
      <c r="D794" s="225"/>
    </row>
    <row r="795">
      <c r="B795" s="225"/>
      <c r="C795" s="225"/>
      <c r="D795" s="225"/>
    </row>
    <row r="796">
      <c r="B796" s="225"/>
      <c r="C796" s="225"/>
      <c r="D796" s="225"/>
    </row>
    <row r="797">
      <c r="B797" s="225"/>
      <c r="C797" s="225"/>
      <c r="D797" s="225"/>
    </row>
    <row r="798">
      <c r="B798" s="225"/>
      <c r="C798" s="225"/>
      <c r="D798" s="225"/>
    </row>
    <row r="799">
      <c r="B799" s="225"/>
      <c r="C799" s="225"/>
      <c r="D799" s="225"/>
    </row>
    <row r="800">
      <c r="B800" s="225"/>
      <c r="C800" s="225"/>
      <c r="D800" s="225"/>
    </row>
    <row r="801">
      <c r="B801" s="225"/>
      <c r="C801" s="225"/>
      <c r="D801" s="225"/>
    </row>
    <row r="802">
      <c r="B802" s="225"/>
      <c r="C802" s="225"/>
      <c r="D802" s="225"/>
    </row>
    <row r="803">
      <c r="B803" s="225"/>
      <c r="C803" s="225"/>
      <c r="D803" s="225"/>
    </row>
    <row r="804">
      <c r="B804" s="225"/>
      <c r="C804" s="225"/>
      <c r="D804" s="225"/>
    </row>
    <row r="805">
      <c r="B805" s="225"/>
      <c r="C805" s="225"/>
      <c r="D805" s="225"/>
    </row>
    <row r="806">
      <c r="B806" s="225"/>
      <c r="C806" s="225"/>
      <c r="D806" s="225"/>
    </row>
    <row r="807">
      <c r="B807" s="225"/>
      <c r="C807" s="225"/>
      <c r="D807" s="225"/>
    </row>
    <row r="808">
      <c r="B808" s="225"/>
      <c r="C808" s="225"/>
      <c r="D808" s="225"/>
    </row>
    <row r="809">
      <c r="B809" s="225"/>
      <c r="C809" s="225"/>
      <c r="D809" s="225"/>
    </row>
    <row r="810">
      <c r="B810" s="225"/>
      <c r="C810" s="225"/>
      <c r="D810" s="225"/>
    </row>
    <row r="811">
      <c r="B811" s="225"/>
      <c r="C811" s="225"/>
      <c r="D811" s="225"/>
    </row>
    <row r="812">
      <c r="B812" s="225"/>
      <c r="C812" s="225"/>
      <c r="D812" s="225"/>
    </row>
    <row r="813">
      <c r="B813" s="225"/>
      <c r="C813" s="225"/>
      <c r="D813" s="225"/>
    </row>
    <row r="814">
      <c r="B814" s="225"/>
      <c r="C814" s="225"/>
      <c r="D814" s="225"/>
    </row>
    <row r="815">
      <c r="B815" s="225"/>
      <c r="C815" s="225"/>
      <c r="D815" s="225"/>
    </row>
    <row r="816">
      <c r="B816" s="225"/>
      <c r="C816" s="225"/>
      <c r="D816" s="225"/>
    </row>
    <row r="817">
      <c r="B817" s="225"/>
      <c r="C817" s="225"/>
      <c r="D817" s="225"/>
    </row>
    <row r="818">
      <c r="B818" s="225"/>
      <c r="C818" s="225"/>
      <c r="D818" s="225"/>
    </row>
    <row r="819">
      <c r="B819" s="225"/>
      <c r="C819" s="225"/>
      <c r="D819" s="225"/>
    </row>
    <row r="820">
      <c r="B820" s="225"/>
      <c r="C820" s="225"/>
      <c r="D820" s="225"/>
    </row>
    <row r="821">
      <c r="B821" s="225"/>
      <c r="C821" s="225"/>
      <c r="D821" s="225"/>
    </row>
    <row r="822">
      <c r="B822" s="225"/>
      <c r="C822" s="225"/>
      <c r="D822" s="225"/>
    </row>
    <row r="823">
      <c r="B823" s="225"/>
      <c r="C823" s="225"/>
      <c r="D823" s="225"/>
    </row>
    <row r="824">
      <c r="B824" s="225"/>
      <c r="C824" s="225"/>
      <c r="D824" s="225"/>
    </row>
    <row r="825">
      <c r="B825" s="225"/>
      <c r="C825" s="225"/>
      <c r="D825" s="225"/>
    </row>
    <row r="826">
      <c r="B826" s="225"/>
      <c r="C826" s="225"/>
      <c r="D826" s="225"/>
    </row>
    <row r="827">
      <c r="B827" s="225"/>
      <c r="C827" s="225"/>
      <c r="D827" s="225"/>
    </row>
    <row r="828">
      <c r="B828" s="225"/>
      <c r="C828" s="225"/>
      <c r="D828" s="225"/>
    </row>
    <row r="829">
      <c r="B829" s="225"/>
      <c r="C829" s="225"/>
      <c r="D829" s="225"/>
    </row>
    <row r="830">
      <c r="B830" s="225"/>
      <c r="C830" s="225"/>
      <c r="D830" s="225"/>
    </row>
    <row r="831">
      <c r="B831" s="225"/>
      <c r="C831" s="225"/>
      <c r="D831" s="225"/>
    </row>
    <row r="832">
      <c r="B832" s="225"/>
      <c r="C832" s="225"/>
      <c r="D832" s="225"/>
    </row>
    <row r="833">
      <c r="B833" s="225"/>
      <c r="C833" s="225"/>
      <c r="D833" s="225"/>
    </row>
    <row r="834">
      <c r="B834" s="225"/>
      <c r="C834" s="225"/>
      <c r="D834" s="225"/>
    </row>
    <row r="835">
      <c r="B835" s="225"/>
      <c r="C835" s="225"/>
      <c r="D835" s="225"/>
    </row>
    <row r="836">
      <c r="B836" s="225"/>
      <c r="C836" s="225"/>
      <c r="D836" s="225"/>
    </row>
    <row r="837">
      <c r="B837" s="225"/>
      <c r="C837" s="225"/>
      <c r="D837" s="225"/>
    </row>
    <row r="838">
      <c r="B838" s="225"/>
      <c r="C838" s="225"/>
      <c r="D838" s="225"/>
    </row>
    <row r="839">
      <c r="B839" s="225"/>
      <c r="C839" s="225"/>
      <c r="D839" s="225"/>
    </row>
    <row r="840">
      <c r="B840" s="225"/>
      <c r="C840" s="225"/>
      <c r="D840" s="225"/>
    </row>
    <row r="841">
      <c r="B841" s="225"/>
      <c r="C841" s="225"/>
      <c r="D841" s="225"/>
    </row>
    <row r="842">
      <c r="B842" s="225"/>
      <c r="C842" s="225"/>
      <c r="D842" s="225"/>
    </row>
    <row r="843">
      <c r="B843" s="225"/>
      <c r="C843" s="225"/>
      <c r="D843" s="225"/>
    </row>
    <row r="844">
      <c r="B844" s="225"/>
      <c r="C844" s="225"/>
      <c r="D844" s="225"/>
    </row>
    <row r="845">
      <c r="B845" s="225"/>
      <c r="C845" s="225"/>
      <c r="D845" s="225"/>
    </row>
    <row r="846">
      <c r="B846" s="225"/>
      <c r="C846" s="225"/>
      <c r="D846" s="225"/>
    </row>
    <row r="847">
      <c r="B847" s="225"/>
      <c r="C847" s="225"/>
      <c r="D847" s="225"/>
    </row>
    <row r="848">
      <c r="B848" s="225"/>
      <c r="C848" s="225"/>
      <c r="D848" s="225"/>
    </row>
    <row r="849">
      <c r="B849" s="225"/>
      <c r="C849" s="225"/>
      <c r="D849" s="225"/>
    </row>
    <row r="850">
      <c r="B850" s="225"/>
      <c r="C850" s="225"/>
      <c r="D850" s="225"/>
    </row>
    <row r="851">
      <c r="B851" s="225"/>
      <c r="C851" s="225"/>
      <c r="D851" s="225"/>
    </row>
    <row r="852">
      <c r="B852" s="225"/>
      <c r="C852" s="225"/>
      <c r="D852" s="225"/>
    </row>
    <row r="853">
      <c r="B853" s="225"/>
      <c r="C853" s="225"/>
      <c r="D853" s="225"/>
    </row>
    <row r="854">
      <c r="B854" s="225"/>
      <c r="C854" s="225"/>
      <c r="D854" s="225"/>
    </row>
    <row r="855">
      <c r="B855" s="225"/>
      <c r="C855" s="225"/>
      <c r="D855" s="225"/>
    </row>
    <row r="856">
      <c r="B856" s="225"/>
      <c r="C856" s="225"/>
      <c r="D856" s="225"/>
    </row>
    <row r="857">
      <c r="B857" s="225"/>
      <c r="C857" s="225"/>
      <c r="D857" s="225"/>
    </row>
    <row r="858">
      <c r="B858" s="225"/>
      <c r="C858" s="225"/>
      <c r="D858" s="225"/>
    </row>
    <row r="859">
      <c r="B859" s="225"/>
      <c r="C859" s="225"/>
      <c r="D859" s="225"/>
    </row>
    <row r="860">
      <c r="B860" s="225"/>
      <c r="C860" s="225"/>
      <c r="D860" s="225"/>
    </row>
    <row r="861">
      <c r="B861" s="225"/>
      <c r="C861" s="225"/>
      <c r="D861" s="225"/>
    </row>
    <row r="862">
      <c r="B862" s="225"/>
      <c r="C862" s="225"/>
      <c r="D862" s="225"/>
    </row>
    <row r="863">
      <c r="B863" s="225"/>
      <c r="C863" s="225"/>
      <c r="D863" s="225"/>
    </row>
    <row r="864">
      <c r="B864" s="225"/>
      <c r="C864" s="225"/>
      <c r="D864" s="225"/>
    </row>
    <row r="865">
      <c r="B865" s="225"/>
      <c r="C865" s="225"/>
      <c r="D865" s="225"/>
    </row>
    <row r="866">
      <c r="B866" s="225"/>
      <c r="C866" s="225"/>
      <c r="D866" s="225"/>
    </row>
    <row r="867">
      <c r="B867" s="225"/>
      <c r="C867" s="225"/>
      <c r="D867" s="225"/>
    </row>
    <row r="868">
      <c r="B868" s="225"/>
      <c r="C868" s="225"/>
      <c r="D868" s="225"/>
    </row>
    <row r="869">
      <c r="B869" s="225"/>
      <c r="C869" s="225"/>
      <c r="D869" s="225"/>
    </row>
    <row r="870">
      <c r="B870" s="225"/>
      <c r="C870" s="225"/>
      <c r="D870" s="225"/>
    </row>
    <row r="871">
      <c r="B871" s="225"/>
      <c r="C871" s="225"/>
      <c r="D871" s="225"/>
    </row>
    <row r="872">
      <c r="B872" s="225"/>
      <c r="C872" s="225"/>
      <c r="D872" s="225"/>
    </row>
    <row r="873">
      <c r="B873" s="225"/>
      <c r="C873" s="225"/>
      <c r="D873" s="225"/>
    </row>
    <row r="874">
      <c r="B874" s="225"/>
      <c r="C874" s="225"/>
      <c r="D874" s="225"/>
    </row>
    <row r="875">
      <c r="B875" s="225"/>
      <c r="C875" s="225"/>
      <c r="D875" s="225"/>
    </row>
    <row r="876">
      <c r="B876" s="225"/>
      <c r="C876" s="225"/>
      <c r="D876" s="225"/>
    </row>
    <row r="877">
      <c r="B877" s="225"/>
      <c r="C877" s="225"/>
      <c r="D877" s="225"/>
    </row>
    <row r="878">
      <c r="B878" s="225"/>
      <c r="C878" s="225"/>
      <c r="D878" s="225"/>
    </row>
    <row r="879">
      <c r="B879" s="225"/>
      <c r="C879" s="225"/>
      <c r="D879" s="225"/>
    </row>
    <row r="880">
      <c r="B880" s="225"/>
      <c r="C880" s="225"/>
      <c r="D880" s="225"/>
    </row>
    <row r="881">
      <c r="B881" s="225"/>
      <c r="C881" s="225"/>
      <c r="D881" s="225"/>
    </row>
    <row r="882">
      <c r="B882" s="225"/>
      <c r="C882" s="225"/>
      <c r="D882" s="225"/>
    </row>
    <row r="883">
      <c r="B883" s="225"/>
      <c r="C883" s="225"/>
      <c r="D883" s="225"/>
    </row>
    <row r="884">
      <c r="B884" s="225"/>
      <c r="C884" s="225"/>
      <c r="D884" s="225"/>
    </row>
    <row r="885">
      <c r="B885" s="225"/>
      <c r="C885" s="225"/>
      <c r="D885" s="225"/>
    </row>
    <row r="886">
      <c r="B886" s="225"/>
      <c r="C886" s="225"/>
      <c r="D886" s="225"/>
    </row>
    <row r="887">
      <c r="B887" s="225"/>
      <c r="C887" s="225"/>
      <c r="D887" s="225"/>
    </row>
    <row r="888">
      <c r="B888" s="225"/>
      <c r="C888" s="225"/>
      <c r="D888" s="225"/>
    </row>
    <row r="889">
      <c r="B889" s="225"/>
      <c r="C889" s="225"/>
      <c r="D889" s="225"/>
    </row>
    <row r="890">
      <c r="B890" s="225"/>
      <c r="C890" s="225"/>
      <c r="D890" s="225"/>
    </row>
    <row r="891">
      <c r="B891" s="225"/>
      <c r="C891" s="225"/>
      <c r="D891" s="225"/>
    </row>
    <row r="892">
      <c r="B892" s="225"/>
      <c r="C892" s="225"/>
      <c r="D892" s="225"/>
    </row>
    <row r="893">
      <c r="B893" s="225"/>
      <c r="C893" s="225"/>
      <c r="D893" s="225"/>
    </row>
    <row r="894">
      <c r="B894" s="225"/>
      <c r="C894" s="225"/>
      <c r="D894" s="225"/>
    </row>
    <row r="895">
      <c r="B895" s="225"/>
      <c r="C895" s="225"/>
      <c r="D895" s="225"/>
    </row>
    <row r="896">
      <c r="B896" s="225"/>
      <c r="C896" s="225"/>
      <c r="D896" s="225"/>
    </row>
    <row r="897">
      <c r="B897" s="225"/>
      <c r="C897" s="225"/>
      <c r="D897" s="225"/>
    </row>
    <row r="898">
      <c r="B898" s="225"/>
      <c r="C898" s="225"/>
      <c r="D898" s="225"/>
    </row>
    <row r="899">
      <c r="B899" s="225"/>
      <c r="C899" s="225"/>
      <c r="D899" s="225"/>
    </row>
    <row r="900">
      <c r="B900" s="225"/>
      <c r="C900" s="225"/>
      <c r="D900" s="225"/>
    </row>
    <row r="901">
      <c r="B901" s="225"/>
      <c r="C901" s="225"/>
      <c r="D901" s="225"/>
    </row>
    <row r="902">
      <c r="B902" s="225"/>
      <c r="C902" s="225"/>
      <c r="D902" s="225"/>
    </row>
    <row r="903">
      <c r="B903" s="225"/>
      <c r="C903" s="225"/>
      <c r="D903" s="225"/>
    </row>
    <row r="904">
      <c r="B904" s="225"/>
      <c r="C904" s="225"/>
      <c r="D904" s="225"/>
    </row>
    <row r="905">
      <c r="B905" s="225"/>
      <c r="C905" s="225"/>
      <c r="D905" s="225"/>
    </row>
    <row r="906">
      <c r="B906" s="225"/>
      <c r="C906" s="225"/>
      <c r="D906" s="225"/>
    </row>
    <row r="907">
      <c r="B907" s="225"/>
      <c r="C907" s="225"/>
      <c r="D907" s="225"/>
    </row>
    <row r="908">
      <c r="B908" s="225"/>
      <c r="C908" s="225"/>
      <c r="D908" s="225"/>
    </row>
    <row r="909">
      <c r="B909" s="225"/>
      <c r="C909" s="225"/>
      <c r="D909" s="225"/>
    </row>
    <row r="910">
      <c r="B910" s="225"/>
      <c r="C910" s="225"/>
      <c r="D910" s="225"/>
    </row>
    <row r="911">
      <c r="B911" s="225"/>
      <c r="C911" s="225"/>
      <c r="D911" s="225"/>
    </row>
    <row r="912">
      <c r="B912" s="225"/>
      <c r="C912" s="225"/>
      <c r="D912" s="225"/>
    </row>
    <row r="913">
      <c r="B913" s="225"/>
      <c r="C913" s="225"/>
      <c r="D913" s="225"/>
    </row>
    <row r="914">
      <c r="B914" s="225"/>
      <c r="C914" s="225"/>
      <c r="D914" s="225"/>
    </row>
    <row r="915">
      <c r="B915" s="225"/>
      <c r="C915" s="225"/>
      <c r="D915" s="225"/>
    </row>
    <row r="916">
      <c r="B916" s="225"/>
      <c r="C916" s="225"/>
      <c r="D916" s="225"/>
    </row>
    <row r="917">
      <c r="B917" s="225"/>
      <c r="C917" s="225"/>
      <c r="D917" s="225"/>
    </row>
    <row r="918">
      <c r="B918" s="225"/>
      <c r="C918" s="225"/>
      <c r="D918" s="225"/>
    </row>
    <row r="919">
      <c r="B919" s="225"/>
      <c r="C919" s="225"/>
      <c r="D919" s="225"/>
    </row>
    <row r="920">
      <c r="B920" s="225"/>
      <c r="C920" s="225"/>
      <c r="D920" s="225"/>
    </row>
    <row r="921">
      <c r="B921" s="225"/>
      <c r="C921" s="225"/>
      <c r="D921" s="225"/>
    </row>
    <row r="922">
      <c r="B922" s="225"/>
      <c r="C922" s="225"/>
      <c r="D922" s="225"/>
    </row>
    <row r="923">
      <c r="B923" s="225"/>
      <c r="C923" s="225"/>
      <c r="D923" s="225"/>
    </row>
    <row r="924">
      <c r="B924" s="225"/>
      <c r="C924" s="225"/>
      <c r="D924" s="225"/>
    </row>
    <row r="925">
      <c r="B925" s="225"/>
      <c r="C925" s="225"/>
      <c r="D925" s="225"/>
    </row>
    <row r="926">
      <c r="B926" s="225"/>
      <c r="C926" s="225"/>
      <c r="D926" s="225"/>
    </row>
    <row r="927">
      <c r="B927" s="225"/>
      <c r="C927" s="225"/>
      <c r="D927" s="225"/>
    </row>
    <row r="928">
      <c r="B928" s="225"/>
      <c r="C928" s="225"/>
      <c r="D928" s="225"/>
    </row>
    <row r="929">
      <c r="B929" s="225"/>
      <c r="C929" s="225"/>
      <c r="D929" s="225"/>
    </row>
    <row r="930">
      <c r="B930" s="225"/>
      <c r="C930" s="225"/>
      <c r="D930" s="225"/>
    </row>
    <row r="931">
      <c r="B931" s="225"/>
      <c r="C931" s="225"/>
      <c r="D931" s="225"/>
    </row>
    <row r="932">
      <c r="B932" s="225"/>
      <c r="C932" s="225"/>
      <c r="D932" s="225"/>
    </row>
    <row r="933">
      <c r="B933" s="225"/>
      <c r="C933" s="225"/>
      <c r="D933" s="225"/>
    </row>
    <row r="934">
      <c r="B934" s="225"/>
      <c r="C934" s="225"/>
      <c r="D934" s="225"/>
    </row>
    <row r="935">
      <c r="B935" s="225"/>
      <c r="C935" s="225"/>
      <c r="D935" s="225"/>
    </row>
    <row r="936">
      <c r="B936" s="225"/>
      <c r="C936" s="225"/>
      <c r="D936" s="225"/>
    </row>
    <row r="937">
      <c r="B937" s="225"/>
      <c r="C937" s="225"/>
      <c r="D937" s="225"/>
    </row>
    <row r="938">
      <c r="B938" s="225"/>
      <c r="C938" s="225"/>
      <c r="D938" s="225"/>
    </row>
    <row r="939">
      <c r="B939" s="225"/>
      <c r="C939" s="225"/>
      <c r="D939" s="225"/>
    </row>
    <row r="940">
      <c r="B940" s="225"/>
      <c r="C940" s="225"/>
      <c r="D940" s="225"/>
    </row>
    <row r="941">
      <c r="B941" s="225"/>
      <c r="C941" s="225"/>
      <c r="D941" s="225"/>
    </row>
    <row r="942">
      <c r="B942" s="225"/>
      <c r="C942" s="225"/>
      <c r="D942" s="225"/>
    </row>
    <row r="943">
      <c r="B943" s="225"/>
      <c r="C943" s="225"/>
      <c r="D943" s="225"/>
    </row>
    <row r="944">
      <c r="B944" s="225"/>
      <c r="C944" s="225"/>
      <c r="D944" s="225"/>
    </row>
    <row r="945">
      <c r="B945" s="225"/>
      <c r="C945" s="225"/>
      <c r="D945" s="225"/>
    </row>
    <row r="946">
      <c r="B946" s="225"/>
      <c r="C946" s="225"/>
      <c r="D946" s="225"/>
    </row>
    <row r="947">
      <c r="B947" s="225"/>
      <c r="C947" s="225"/>
      <c r="D947" s="225"/>
    </row>
    <row r="948">
      <c r="B948" s="225"/>
      <c r="C948" s="225"/>
      <c r="D948" s="225"/>
    </row>
    <row r="949">
      <c r="B949" s="225"/>
      <c r="C949" s="225"/>
      <c r="D949" s="225"/>
    </row>
    <row r="950">
      <c r="B950" s="225"/>
      <c r="C950" s="225"/>
      <c r="D950" s="225"/>
    </row>
    <row r="951">
      <c r="B951" s="225"/>
      <c r="C951" s="225"/>
      <c r="D951" s="225"/>
    </row>
    <row r="952">
      <c r="B952" s="225"/>
      <c r="C952" s="225"/>
      <c r="D952" s="225"/>
    </row>
    <row r="953">
      <c r="B953" s="225"/>
      <c r="C953" s="225"/>
      <c r="D953" s="225"/>
    </row>
    <row r="954">
      <c r="B954" s="225"/>
      <c r="C954" s="225"/>
      <c r="D954" s="225"/>
    </row>
    <row r="955">
      <c r="B955" s="225"/>
      <c r="C955" s="225"/>
      <c r="D955" s="225"/>
    </row>
    <row r="956">
      <c r="B956" s="225"/>
      <c r="C956" s="225"/>
      <c r="D956" s="225"/>
    </row>
    <row r="957">
      <c r="B957" s="225"/>
      <c r="C957" s="225"/>
      <c r="D957" s="225"/>
    </row>
    <row r="958">
      <c r="B958" s="225"/>
      <c r="C958" s="225"/>
      <c r="D958" s="225"/>
    </row>
    <row r="959">
      <c r="B959" s="225"/>
      <c r="C959" s="225"/>
      <c r="D959" s="225"/>
    </row>
    <row r="960">
      <c r="B960" s="225"/>
      <c r="C960" s="225"/>
      <c r="D960" s="225"/>
    </row>
    <row r="961">
      <c r="B961" s="225"/>
      <c r="C961" s="225"/>
      <c r="D961" s="225"/>
    </row>
    <row r="962">
      <c r="B962" s="225"/>
      <c r="C962" s="225"/>
      <c r="D962" s="225"/>
    </row>
    <row r="963">
      <c r="B963" s="225"/>
      <c r="C963" s="225"/>
      <c r="D963" s="225"/>
    </row>
    <row r="964">
      <c r="B964" s="225"/>
      <c r="C964" s="225"/>
      <c r="D964" s="225"/>
    </row>
    <row r="965">
      <c r="B965" s="225"/>
      <c r="C965" s="225"/>
      <c r="D965" s="225"/>
    </row>
    <row r="966">
      <c r="B966" s="225"/>
      <c r="C966" s="225"/>
      <c r="D966" s="225"/>
    </row>
    <row r="967">
      <c r="B967" s="225"/>
      <c r="C967" s="225"/>
      <c r="D967" s="225"/>
    </row>
    <row r="968">
      <c r="B968" s="225"/>
      <c r="C968" s="225"/>
      <c r="D968" s="225"/>
    </row>
    <row r="969">
      <c r="B969" s="225"/>
      <c r="C969" s="225"/>
      <c r="D969" s="225"/>
    </row>
    <row r="970">
      <c r="B970" s="225"/>
      <c r="C970" s="225"/>
      <c r="D970" s="225"/>
    </row>
    <row r="971">
      <c r="B971" s="225"/>
      <c r="C971" s="225"/>
      <c r="D971" s="225"/>
    </row>
    <row r="972">
      <c r="B972" s="225"/>
      <c r="C972" s="225"/>
      <c r="D972" s="225"/>
    </row>
    <row r="973">
      <c r="B973" s="225"/>
      <c r="C973" s="225"/>
      <c r="D973" s="225"/>
    </row>
    <row r="974">
      <c r="B974" s="225"/>
      <c r="C974" s="225"/>
      <c r="D974" s="225"/>
    </row>
    <row r="975">
      <c r="B975" s="225"/>
      <c r="C975" s="225"/>
      <c r="D975" s="225"/>
    </row>
    <row r="976">
      <c r="B976" s="225"/>
      <c r="C976" s="225"/>
      <c r="D976" s="225"/>
    </row>
    <row r="977">
      <c r="B977" s="225"/>
      <c r="C977" s="225"/>
      <c r="D977" s="225"/>
    </row>
    <row r="978">
      <c r="B978" s="225"/>
      <c r="C978" s="225"/>
      <c r="D978" s="225"/>
    </row>
    <row r="979">
      <c r="B979" s="225"/>
      <c r="C979" s="225"/>
      <c r="D979" s="225"/>
    </row>
    <row r="980">
      <c r="B980" s="225"/>
      <c r="C980" s="225"/>
      <c r="D980" s="225"/>
    </row>
    <row r="981">
      <c r="B981" s="225"/>
      <c r="C981" s="225"/>
      <c r="D981" s="225"/>
    </row>
    <row r="982">
      <c r="B982" s="225"/>
      <c r="C982" s="225"/>
      <c r="D982" s="225"/>
    </row>
    <row r="983">
      <c r="B983" s="225"/>
      <c r="C983" s="225"/>
      <c r="D983" s="225"/>
    </row>
    <row r="984">
      <c r="B984" s="225"/>
      <c r="C984" s="225"/>
      <c r="D984" s="225"/>
    </row>
    <row r="985">
      <c r="B985" s="225"/>
      <c r="C985" s="225"/>
      <c r="D985" s="225"/>
    </row>
    <row r="986">
      <c r="B986" s="225"/>
      <c r="C986" s="225"/>
      <c r="D986" s="225"/>
    </row>
    <row r="987">
      <c r="B987" s="225"/>
      <c r="C987" s="225"/>
      <c r="D987" s="225"/>
    </row>
    <row r="988">
      <c r="B988" s="225"/>
      <c r="C988" s="225"/>
      <c r="D988" s="225"/>
    </row>
    <row r="989">
      <c r="B989" s="225"/>
      <c r="C989" s="225"/>
      <c r="D989" s="225"/>
    </row>
    <row r="990">
      <c r="B990" s="225"/>
      <c r="C990" s="225"/>
      <c r="D990" s="225"/>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48"/>
      <c r="C1" s="249"/>
    </row>
    <row r="2">
      <c r="B2" s="250" t="s">
        <v>354</v>
      </c>
      <c r="E2" s="251" t="s">
        <v>355</v>
      </c>
      <c r="F2" s="252"/>
      <c r="G2" s="253"/>
    </row>
    <row r="3">
      <c r="B3" s="254" t="s">
        <v>235</v>
      </c>
      <c r="C3" s="255" t="s">
        <v>356</v>
      </c>
      <c r="D3" s="256" t="s">
        <v>357</v>
      </c>
      <c r="E3" s="257" t="s">
        <v>358</v>
      </c>
      <c r="F3" s="257" t="s">
        <v>359</v>
      </c>
      <c r="G3" s="257" t="s">
        <v>360</v>
      </c>
      <c r="H3" s="258" t="s">
        <v>238</v>
      </c>
    </row>
    <row r="4">
      <c r="B4" s="259">
        <v>1.0</v>
      </c>
      <c r="C4" s="260" t="s">
        <v>361</v>
      </c>
      <c r="D4" s="261" t="s">
        <v>362</v>
      </c>
      <c r="E4" s="262" t="s">
        <v>64</v>
      </c>
      <c r="F4" s="262" t="s">
        <v>42</v>
      </c>
      <c r="G4" s="262" t="s">
        <v>42</v>
      </c>
      <c r="H4" s="263"/>
    </row>
    <row r="5">
      <c r="B5" s="259">
        <v>2.0</v>
      </c>
      <c r="C5" s="264"/>
      <c r="D5" s="261" t="s">
        <v>363</v>
      </c>
      <c r="E5" s="262" t="s">
        <v>64</v>
      </c>
      <c r="F5" s="262" t="s">
        <v>42</v>
      </c>
      <c r="G5" s="262" t="s">
        <v>42</v>
      </c>
      <c r="H5" s="263"/>
    </row>
    <row r="6">
      <c r="B6" s="259">
        <v>3.0</v>
      </c>
      <c r="C6" s="265" t="s">
        <v>364</v>
      </c>
      <c r="D6" s="261" t="s">
        <v>365</v>
      </c>
      <c r="E6" s="262" t="s">
        <v>64</v>
      </c>
      <c r="F6" s="262" t="s">
        <v>42</v>
      </c>
      <c r="G6" s="262" t="s">
        <v>42</v>
      </c>
      <c r="H6" s="263"/>
    </row>
    <row r="7">
      <c r="B7" s="259">
        <v>4.0</v>
      </c>
      <c r="C7" s="265" t="s">
        <v>366</v>
      </c>
      <c r="D7" s="266" t="s">
        <v>367</v>
      </c>
      <c r="E7" s="262" t="s">
        <v>64</v>
      </c>
      <c r="F7" s="262" t="s">
        <v>42</v>
      </c>
      <c r="G7" s="262" t="s">
        <v>42</v>
      </c>
      <c r="H7" s="267"/>
    </row>
    <row r="8">
      <c r="B8" s="259">
        <v>5.0</v>
      </c>
      <c r="C8" s="265" t="s">
        <v>348</v>
      </c>
      <c r="D8" s="261" t="s">
        <v>368</v>
      </c>
      <c r="E8" s="262" t="s">
        <v>42</v>
      </c>
      <c r="F8" s="262" t="s">
        <v>42</v>
      </c>
      <c r="G8" s="262" t="s">
        <v>64</v>
      </c>
      <c r="H8" s="263"/>
      <c r="I8" s="268"/>
    </row>
    <row r="9">
      <c r="B9" s="259">
        <v>6.0</v>
      </c>
      <c r="C9" s="265" t="s">
        <v>369</v>
      </c>
      <c r="D9" s="266" t="s">
        <v>370</v>
      </c>
      <c r="E9" s="262" t="s">
        <v>42</v>
      </c>
      <c r="F9" s="262" t="s">
        <v>42</v>
      </c>
      <c r="G9" s="262" t="s">
        <v>64</v>
      </c>
      <c r="H9" s="263"/>
      <c r="I9" s="268"/>
    </row>
    <row r="10">
      <c r="B10" s="259">
        <v>7.0</v>
      </c>
      <c r="C10" s="265" t="s">
        <v>371</v>
      </c>
      <c r="D10" s="261" t="s">
        <v>372</v>
      </c>
      <c r="E10" s="262" t="s">
        <v>42</v>
      </c>
      <c r="F10" s="262" t="s">
        <v>42</v>
      </c>
      <c r="G10" s="262" t="s">
        <v>64</v>
      </c>
      <c r="H10" s="263"/>
    </row>
    <row r="11">
      <c r="B11" s="259">
        <v>8.0</v>
      </c>
      <c r="C11" s="269" t="s">
        <v>373</v>
      </c>
      <c r="D11" s="261" t="s">
        <v>374</v>
      </c>
      <c r="E11" s="262" t="s">
        <v>42</v>
      </c>
      <c r="F11" s="262" t="s">
        <v>42</v>
      </c>
      <c r="G11" s="262" t="s">
        <v>64</v>
      </c>
      <c r="H11" s="263"/>
    </row>
    <row r="16">
      <c r="B16" s="248"/>
      <c r="C16" s="249"/>
    </row>
    <row r="17">
      <c r="B17" s="248"/>
      <c r="C17" s="249"/>
    </row>
    <row r="18">
      <c r="B18" s="248"/>
      <c r="C18" s="249"/>
    </row>
    <row r="19">
      <c r="B19" s="248"/>
      <c r="C19" s="249"/>
    </row>
    <row r="20">
      <c r="B20" s="248"/>
      <c r="C20" s="249"/>
    </row>
    <row r="21">
      <c r="B21" s="248"/>
      <c r="C21" s="249"/>
    </row>
    <row r="22">
      <c r="B22" s="248"/>
      <c r="C22" s="249"/>
    </row>
    <row r="23">
      <c r="B23" s="248"/>
      <c r="C23" s="249"/>
    </row>
    <row r="24">
      <c r="B24" s="248"/>
      <c r="C24" s="249"/>
    </row>
    <row r="25">
      <c r="B25" s="248"/>
      <c r="C25" s="249"/>
    </row>
    <row r="26">
      <c r="B26" s="248"/>
      <c r="C26" s="249"/>
    </row>
    <row r="27">
      <c r="B27" s="248"/>
      <c r="C27" s="249"/>
    </row>
    <row r="28">
      <c r="B28" s="248"/>
      <c r="C28" s="249"/>
    </row>
    <row r="29">
      <c r="B29" s="248"/>
      <c r="C29" s="249"/>
    </row>
    <row r="30">
      <c r="B30" s="248"/>
      <c r="C30" s="249"/>
    </row>
    <row r="31">
      <c r="B31" s="248"/>
      <c r="C31" s="249"/>
    </row>
    <row r="32">
      <c r="B32" s="248"/>
      <c r="C32" s="249"/>
    </row>
    <row r="33">
      <c r="B33" s="248"/>
      <c r="C33" s="249"/>
    </row>
    <row r="34">
      <c r="B34" s="248"/>
      <c r="C34" s="249"/>
    </row>
    <row r="35">
      <c r="B35" s="248"/>
      <c r="C35" s="249"/>
    </row>
    <row r="36">
      <c r="B36" s="248"/>
      <c r="C36" s="249"/>
    </row>
    <row r="37">
      <c r="B37" s="248"/>
      <c r="C37" s="249"/>
    </row>
    <row r="38">
      <c r="B38" s="248"/>
      <c r="C38" s="249"/>
    </row>
    <row r="39">
      <c r="B39" s="248"/>
      <c r="C39" s="249"/>
    </row>
    <row r="40">
      <c r="B40" s="248"/>
      <c r="C40" s="249"/>
    </row>
    <row r="41">
      <c r="B41" s="250"/>
      <c r="C41" s="249"/>
    </row>
    <row r="42">
      <c r="B42" s="250"/>
      <c r="C42" s="249"/>
      <c r="J42" s="270"/>
    </row>
    <row r="43">
      <c r="B43" s="248"/>
    </row>
    <row r="44">
      <c r="C44" s="103"/>
    </row>
    <row r="46">
      <c r="C46" s="103"/>
    </row>
    <row r="47">
      <c r="B47" s="248"/>
      <c r="C47" s="249"/>
    </row>
    <row r="48">
      <c r="B48" s="248"/>
      <c r="C48" s="249"/>
    </row>
    <row r="49">
      <c r="B49" s="248"/>
      <c r="C49" s="249"/>
    </row>
    <row r="50">
      <c r="B50" s="248"/>
      <c r="C50" s="249"/>
    </row>
    <row r="51">
      <c r="B51" s="248"/>
      <c r="C51" s="249"/>
    </row>
    <row r="52">
      <c r="B52" s="248"/>
      <c r="C52" s="249"/>
    </row>
    <row r="53">
      <c r="B53" s="248"/>
      <c r="C53" s="249"/>
    </row>
    <row r="54">
      <c r="B54" s="248"/>
      <c r="C54" s="249"/>
    </row>
    <row r="55">
      <c r="B55" s="248"/>
      <c r="C55" s="249"/>
    </row>
    <row r="56">
      <c r="B56" s="248"/>
      <c r="C56" s="249"/>
    </row>
    <row r="57">
      <c r="B57" s="248"/>
      <c r="C57" s="249"/>
    </row>
    <row r="58">
      <c r="B58" s="248"/>
      <c r="C58" s="249"/>
    </row>
    <row r="59">
      <c r="B59" s="248"/>
      <c r="C59" s="249"/>
    </row>
    <row r="60">
      <c r="B60" s="248"/>
      <c r="C60" s="249"/>
    </row>
    <row r="61">
      <c r="B61" s="248"/>
      <c r="C61" s="249"/>
    </row>
    <row r="62">
      <c r="B62" s="248"/>
      <c r="C62" s="249"/>
    </row>
    <row r="63">
      <c r="B63" s="248"/>
      <c r="C63" s="249"/>
    </row>
    <row r="64">
      <c r="B64" s="248"/>
      <c r="C64" s="249"/>
    </row>
    <row r="65">
      <c r="B65" s="248"/>
      <c r="C65" s="249"/>
    </row>
    <row r="66">
      <c r="B66" s="248"/>
      <c r="C66" s="249"/>
    </row>
    <row r="67">
      <c r="B67" s="248"/>
      <c r="C67" s="249"/>
    </row>
    <row r="68">
      <c r="B68" s="248"/>
      <c r="C68" s="249"/>
    </row>
    <row r="69">
      <c r="B69" s="248"/>
      <c r="C69" s="249"/>
    </row>
    <row r="70">
      <c r="B70" s="248"/>
      <c r="C70" s="249"/>
    </row>
    <row r="71">
      <c r="B71" s="248"/>
      <c r="C71" s="249"/>
    </row>
    <row r="72">
      <c r="B72" s="248"/>
      <c r="C72" s="249"/>
    </row>
    <row r="73">
      <c r="B73" s="248"/>
      <c r="C73" s="249"/>
    </row>
    <row r="74">
      <c r="B74" s="248"/>
      <c r="C74" s="249"/>
    </row>
    <row r="75">
      <c r="B75" s="248"/>
      <c r="C75" s="249"/>
    </row>
    <row r="76">
      <c r="B76" s="248"/>
      <c r="C76" s="249"/>
    </row>
    <row r="77">
      <c r="B77" s="248"/>
      <c r="C77" s="249"/>
    </row>
    <row r="78">
      <c r="B78" s="248"/>
      <c r="C78" s="249"/>
    </row>
    <row r="79">
      <c r="B79" s="248"/>
      <c r="C79" s="249"/>
    </row>
    <row r="80">
      <c r="B80" s="248"/>
      <c r="C80" s="249"/>
    </row>
    <row r="81">
      <c r="B81" s="248"/>
      <c r="C81" s="249"/>
    </row>
    <row r="82">
      <c r="B82" s="248"/>
      <c r="C82" s="249"/>
    </row>
    <row r="83">
      <c r="B83" s="248"/>
      <c r="C83" s="249"/>
    </row>
    <row r="84">
      <c r="B84" s="248"/>
      <c r="C84" s="249"/>
    </row>
    <row r="85">
      <c r="B85" s="248"/>
      <c r="C85" s="249"/>
    </row>
    <row r="86">
      <c r="B86" s="248"/>
      <c r="C86" s="249"/>
    </row>
    <row r="87">
      <c r="B87" s="248"/>
      <c r="C87" s="249"/>
    </row>
    <row r="88">
      <c r="B88" s="248"/>
      <c r="C88" s="249"/>
    </row>
    <row r="89">
      <c r="B89" s="248"/>
      <c r="C89" s="249"/>
    </row>
    <row r="90">
      <c r="B90" s="248"/>
      <c r="C90" s="249"/>
    </row>
    <row r="91">
      <c r="B91" s="248"/>
      <c r="C91" s="249"/>
    </row>
    <row r="92">
      <c r="B92" s="248"/>
      <c r="C92" s="249"/>
    </row>
    <row r="93">
      <c r="B93" s="248"/>
      <c r="C93" s="249"/>
    </row>
    <row r="94">
      <c r="B94" s="248"/>
      <c r="C94" s="249"/>
    </row>
    <row r="95">
      <c r="B95" s="248"/>
      <c r="C95" s="249"/>
    </row>
    <row r="96">
      <c r="B96" s="248"/>
      <c r="C96" s="249"/>
    </row>
    <row r="97">
      <c r="B97" s="248"/>
      <c r="C97" s="249"/>
    </row>
    <row r="98">
      <c r="B98" s="248"/>
      <c r="C98" s="249"/>
    </row>
    <row r="99">
      <c r="B99" s="248"/>
      <c r="C99" s="249"/>
    </row>
    <row r="100">
      <c r="B100" s="248"/>
      <c r="C100" s="249"/>
    </row>
    <row r="101">
      <c r="B101" s="248"/>
      <c r="C101" s="249"/>
    </row>
    <row r="102">
      <c r="B102" s="248"/>
      <c r="C102" s="249"/>
    </row>
    <row r="103">
      <c r="B103" s="248"/>
      <c r="C103" s="249"/>
    </row>
    <row r="104">
      <c r="B104" s="248"/>
      <c r="C104" s="249"/>
    </row>
    <row r="105">
      <c r="B105" s="248"/>
      <c r="C105" s="249"/>
    </row>
    <row r="106">
      <c r="B106" s="248"/>
      <c r="C106" s="249"/>
    </row>
    <row r="107">
      <c r="B107" s="248"/>
      <c r="C107" s="249"/>
    </row>
    <row r="108">
      <c r="B108" s="248"/>
      <c r="C108" s="249"/>
    </row>
    <row r="109">
      <c r="B109" s="248"/>
      <c r="C109" s="249"/>
    </row>
    <row r="110">
      <c r="B110" s="248"/>
      <c r="C110" s="249"/>
    </row>
    <row r="111">
      <c r="B111" s="248"/>
      <c r="C111" s="249"/>
    </row>
    <row r="112">
      <c r="B112" s="248"/>
      <c r="C112" s="249"/>
    </row>
    <row r="113">
      <c r="B113" s="248"/>
      <c r="C113" s="249"/>
    </row>
    <row r="114">
      <c r="B114" s="248"/>
      <c r="C114" s="249"/>
    </row>
    <row r="115">
      <c r="B115" s="248"/>
      <c r="C115" s="249"/>
    </row>
    <row r="116">
      <c r="B116" s="248"/>
      <c r="C116" s="249"/>
    </row>
    <row r="117">
      <c r="B117" s="248"/>
      <c r="C117" s="249"/>
    </row>
    <row r="118">
      <c r="B118" s="248"/>
      <c r="C118" s="249"/>
    </row>
    <row r="119">
      <c r="B119" s="248"/>
      <c r="C119" s="249"/>
    </row>
    <row r="120">
      <c r="B120" s="248"/>
      <c r="C120" s="249"/>
    </row>
    <row r="121">
      <c r="B121" s="248"/>
      <c r="C121" s="249"/>
    </row>
    <row r="122">
      <c r="B122" s="248"/>
      <c r="C122" s="249"/>
    </row>
    <row r="123">
      <c r="B123" s="248"/>
      <c r="C123" s="249"/>
    </row>
    <row r="124">
      <c r="B124" s="248"/>
      <c r="C124" s="249"/>
    </row>
    <row r="125">
      <c r="B125" s="248"/>
      <c r="C125" s="249"/>
    </row>
    <row r="126">
      <c r="B126" s="248"/>
      <c r="C126" s="249"/>
    </row>
    <row r="127">
      <c r="B127" s="248"/>
      <c r="C127" s="249"/>
    </row>
    <row r="128">
      <c r="B128" s="248"/>
      <c r="C128" s="249"/>
    </row>
    <row r="129">
      <c r="B129" s="248"/>
      <c r="C129" s="249"/>
    </row>
    <row r="130">
      <c r="B130" s="248"/>
      <c r="C130" s="249"/>
    </row>
    <row r="131">
      <c r="B131" s="248"/>
      <c r="C131" s="249"/>
    </row>
    <row r="132">
      <c r="B132" s="248"/>
      <c r="C132" s="249"/>
    </row>
    <row r="133">
      <c r="B133" s="248"/>
      <c r="C133" s="249"/>
    </row>
    <row r="134">
      <c r="B134" s="248"/>
      <c r="C134" s="249"/>
    </row>
    <row r="135">
      <c r="B135" s="248"/>
      <c r="C135" s="249"/>
    </row>
    <row r="136">
      <c r="B136" s="248"/>
      <c r="C136" s="249"/>
    </row>
    <row r="137">
      <c r="B137" s="248"/>
      <c r="C137" s="249"/>
    </row>
    <row r="138">
      <c r="B138" s="248"/>
      <c r="C138" s="249"/>
    </row>
    <row r="139">
      <c r="B139" s="248"/>
      <c r="C139" s="249"/>
    </row>
    <row r="140">
      <c r="B140" s="248"/>
      <c r="C140" s="249"/>
    </row>
    <row r="141">
      <c r="B141" s="248"/>
      <c r="C141" s="249"/>
    </row>
    <row r="142">
      <c r="B142" s="248"/>
      <c r="C142" s="249"/>
    </row>
    <row r="143">
      <c r="B143" s="248"/>
      <c r="C143" s="249"/>
    </row>
    <row r="144">
      <c r="B144" s="248"/>
      <c r="C144" s="249"/>
    </row>
    <row r="145">
      <c r="B145" s="248"/>
      <c r="C145" s="249"/>
    </row>
    <row r="146">
      <c r="B146" s="248"/>
      <c r="C146" s="249"/>
    </row>
    <row r="147">
      <c r="B147" s="248"/>
      <c r="C147" s="249"/>
    </row>
    <row r="148">
      <c r="B148" s="248"/>
      <c r="C148" s="249"/>
    </row>
    <row r="149">
      <c r="B149" s="248"/>
      <c r="C149" s="249"/>
    </row>
    <row r="150">
      <c r="B150" s="248"/>
      <c r="C150" s="249"/>
    </row>
    <row r="151">
      <c r="B151" s="248"/>
      <c r="C151" s="249"/>
    </row>
    <row r="152">
      <c r="B152" s="248"/>
      <c r="C152" s="249"/>
    </row>
    <row r="153">
      <c r="B153" s="248"/>
      <c r="C153" s="249"/>
    </row>
    <row r="154">
      <c r="B154" s="248"/>
      <c r="C154" s="249"/>
    </row>
    <row r="155">
      <c r="B155" s="248"/>
      <c r="C155" s="249"/>
    </row>
    <row r="156">
      <c r="B156" s="248"/>
      <c r="C156" s="249"/>
    </row>
    <row r="157">
      <c r="B157" s="248"/>
      <c r="C157" s="249"/>
    </row>
    <row r="158">
      <c r="B158" s="248"/>
      <c r="C158" s="249"/>
    </row>
    <row r="159">
      <c r="B159" s="248"/>
      <c r="C159" s="249"/>
    </row>
    <row r="160">
      <c r="B160" s="248"/>
      <c r="C160" s="249"/>
    </row>
    <row r="161">
      <c r="B161" s="248"/>
      <c r="C161" s="249"/>
    </row>
    <row r="162">
      <c r="B162" s="248"/>
      <c r="C162" s="249"/>
    </row>
    <row r="163">
      <c r="B163" s="248"/>
      <c r="C163" s="249"/>
    </row>
    <row r="164">
      <c r="B164" s="248"/>
      <c r="C164" s="249"/>
    </row>
    <row r="165">
      <c r="B165" s="248"/>
      <c r="C165" s="249"/>
    </row>
    <row r="166">
      <c r="B166" s="248"/>
      <c r="C166" s="249"/>
    </row>
    <row r="167">
      <c r="B167" s="248"/>
      <c r="C167" s="249"/>
    </row>
    <row r="168">
      <c r="B168" s="248"/>
      <c r="C168" s="249"/>
    </row>
    <row r="169">
      <c r="B169" s="248"/>
      <c r="C169" s="249"/>
    </row>
    <row r="170">
      <c r="B170" s="248"/>
      <c r="C170" s="249"/>
    </row>
    <row r="171">
      <c r="B171" s="248"/>
      <c r="C171" s="249"/>
    </row>
    <row r="172">
      <c r="B172" s="248"/>
      <c r="C172" s="249"/>
    </row>
    <row r="173">
      <c r="B173" s="248"/>
      <c r="C173" s="249"/>
    </row>
    <row r="174">
      <c r="B174" s="248"/>
      <c r="C174" s="249"/>
    </row>
    <row r="175">
      <c r="B175" s="248"/>
      <c r="C175" s="249"/>
    </row>
    <row r="176">
      <c r="B176" s="248"/>
      <c r="C176" s="249"/>
    </row>
    <row r="177">
      <c r="B177" s="248"/>
      <c r="C177" s="249"/>
    </row>
    <row r="178">
      <c r="B178" s="248"/>
      <c r="C178" s="249"/>
    </row>
    <row r="179">
      <c r="B179" s="248"/>
      <c r="C179" s="249"/>
    </row>
    <row r="180">
      <c r="B180" s="248"/>
      <c r="C180" s="249"/>
    </row>
    <row r="181">
      <c r="B181" s="248"/>
      <c r="C181" s="249"/>
    </row>
    <row r="182">
      <c r="B182" s="248"/>
      <c r="C182" s="249"/>
    </row>
    <row r="183">
      <c r="B183" s="248"/>
      <c r="C183" s="249"/>
    </row>
    <row r="184">
      <c r="B184" s="248"/>
      <c r="C184" s="249"/>
    </row>
    <row r="185">
      <c r="B185" s="248"/>
      <c r="C185" s="249"/>
    </row>
    <row r="186">
      <c r="B186" s="248"/>
      <c r="C186" s="249"/>
    </row>
    <row r="187">
      <c r="B187" s="248"/>
      <c r="C187" s="249"/>
    </row>
    <row r="188">
      <c r="B188" s="248"/>
      <c r="C188" s="249"/>
    </row>
    <row r="189">
      <c r="B189" s="248"/>
      <c r="C189" s="249"/>
    </row>
    <row r="190">
      <c r="B190" s="248"/>
      <c r="C190" s="249"/>
    </row>
    <row r="191">
      <c r="B191" s="248"/>
      <c r="C191" s="249"/>
    </row>
    <row r="192">
      <c r="B192" s="248"/>
      <c r="C192" s="249"/>
    </row>
    <row r="193">
      <c r="B193" s="248"/>
      <c r="C193" s="249"/>
    </row>
    <row r="194">
      <c r="B194" s="248"/>
      <c r="C194" s="249"/>
    </row>
    <row r="195">
      <c r="B195" s="248"/>
      <c r="C195" s="249"/>
    </row>
    <row r="196">
      <c r="B196" s="248"/>
      <c r="C196" s="249"/>
    </row>
    <row r="197">
      <c r="B197" s="248"/>
      <c r="C197" s="249"/>
    </row>
    <row r="198">
      <c r="B198" s="248"/>
      <c r="C198" s="249"/>
    </row>
    <row r="199">
      <c r="B199" s="248"/>
      <c r="C199" s="249"/>
    </row>
    <row r="200">
      <c r="B200" s="248"/>
      <c r="C200" s="249"/>
    </row>
    <row r="201">
      <c r="B201" s="248"/>
      <c r="C201" s="249"/>
    </row>
    <row r="202">
      <c r="B202" s="248"/>
      <c r="C202" s="249"/>
    </row>
    <row r="203">
      <c r="B203" s="248"/>
      <c r="C203" s="249"/>
    </row>
    <row r="204">
      <c r="B204" s="248"/>
      <c r="C204" s="249"/>
    </row>
    <row r="205">
      <c r="B205" s="248"/>
      <c r="C205" s="249"/>
    </row>
    <row r="206">
      <c r="B206" s="248"/>
      <c r="C206" s="249"/>
    </row>
    <row r="207">
      <c r="B207" s="248"/>
      <c r="C207" s="249"/>
    </row>
    <row r="208">
      <c r="B208" s="248"/>
      <c r="C208" s="249"/>
    </row>
    <row r="209">
      <c r="B209" s="248"/>
      <c r="C209" s="249"/>
    </row>
    <row r="210">
      <c r="B210" s="248"/>
      <c r="C210" s="249"/>
    </row>
    <row r="211">
      <c r="B211" s="248"/>
      <c r="C211" s="249"/>
    </row>
    <row r="212">
      <c r="B212" s="248"/>
      <c r="C212" s="249"/>
    </row>
    <row r="213">
      <c r="B213" s="248"/>
      <c r="C213" s="249"/>
    </row>
    <row r="214">
      <c r="B214" s="248"/>
      <c r="C214" s="249"/>
    </row>
    <row r="215">
      <c r="B215" s="248"/>
      <c r="C215" s="249"/>
    </row>
    <row r="216">
      <c r="B216" s="248"/>
      <c r="C216" s="249"/>
    </row>
    <row r="217">
      <c r="B217" s="248"/>
      <c r="C217" s="249"/>
    </row>
    <row r="218">
      <c r="B218" s="248"/>
      <c r="C218" s="249"/>
    </row>
    <row r="219">
      <c r="B219" s="248"/>
      <c r="C219" s="249"/>
    </row>
    <row r="220">
      <c r="B220" s="248"/>
      <c r="C220" s="249"/>
    </row>
    <row r="221">
      <c r="B221" s="248"/>
      <c r="C221" s="249"/>
    </row>
    <row r="222">
      <c r="B222" s="248"/>
      <c r="C222" s="249"/>
    </row>
    <row r="223">
      <c r="B223" s="248"/>
      <c r="C223" s="249"/>
    </row>
    <row r="224">
      <c r="B224" s="248"/>
      <c r="C224" s="249"/>
    </row>
    <row r="225">
      <c r="B225" s="248"/>
      <c r="C225" s="249"/>
    </row>
    <row r="226">
      <c r="B226" s="248"/>
      <c r="C226" s="249"/>
    </row>
    <row r="227">
      <c r="B227" s="248"/>
      <c r="C227" s="249"/>
    </row>
    <row r="228">
      <c r="B228" s="248"/>
      <c r="C228" s="249"/>
    </row>
    <row r="229">
      <c r="B229" s="248"/>
      <c r="C229" s="249"/>
    </row>
    <row r="230">
      <c r="B230" s="248"/>
      <c r="C230" s="249"/>
    </row>
    <row r="231">
      <c r="B231" s="248"/>
      <c r="C231" s="249"/>
    </row>
    <row r="232">
      <c r="B232" s="248"/>
      <c r="C232" s="249"/>
    </row>
    <row r="233">
      <c r="B233" s="248"/>
      <c r="C233" s="249"/>
    </row>
    <row r="234">
      <c r="B234" s="248"/>
      <c r="C234" s="249"/>
    </row>
    <row r="235">
      <c r="B235" s="248"/>
      <c r="C235" s="249"/>
    </row>
    <row r="236">
      <c r="B236" s="248"/>
      <c r="C236" s="249"/>
    </row>
    <row r="237">
      <c r="B237" s="248"/>
      <c r="C237" s="249"/>
    </row>
    <row r="238">
      <c r="B238" s="248"/>
      <c r="C238" s="249"/>
    </row>
    <row r="239">
      <c r="B239" s="248"/>
      <c r="C239" s="249"/>
    </row>
    <row r="240">
      <c r="B240" s="248"/>
      <c r="C240" s="249"/>
    </row>
    <row r="241">
      <c r="B241" s="248"/>
      <c r="C241" s="249"/>
    </row>
    <row r="242">
      <c r="B242" s="248"/>
      <c r="C242" s="249"/>
    </row>
    <row r="243">
      <c r="B243" s="248"/>
      <c r="C243" s="249"/>
    </row>
    <row r="244">
      <c r="B244" s="248"/>
      <c r="C244" s="249"/>
    </row>
    <row r="245">
      <c r="B245" s="248"/>
      <c r="C245" s="249"/>
    </row>
    <row r="246">
      <c r="B246" s="248"/>
      <c r="C246" s="249"/>
    </row>
    <row r="247">
      <c r="B247" s="248"/>
      <c r="C247" s="249"/>
    </row>
    <row r="248">
      <c r="B248" s="248"/>
      <c r="C248" s="249"/>
    </row>
    <row r="249">
      <c r="B249" s="248"/>
      <c r="C249" s="249"/>
    </row>
    <row r="250">
      <c r="B250" s="248"/>
      <c r="C250" s="249"/>
    </row>
    <row r="251">
      <c r="B251" s="248"/>
      <c r="C251" s="249"/>
    </row>
    <row r="252">
      <c r="B252" s="248"/>
      <c r="C252" s="249"/>
    </row>
    <row r="253">
      <c r="B253" s="248"/>
      <c r="C253" s="249"/>
    </row>
    <row r="254">
      <c r="B254" s="248"/>
      <c r="C254" s="249"/>
    </row>
    <row r="255">
      <c r="B255" s="248"/>
      <c r="C255" s="249"/>
    </row>
    <row r="256">
      <c r="B256" s="248"/>
      <c r="C256" s="249"/>
    </row>
    <row r="257">
      <c r="B257" s="248"/>
      <c r="C257" s="249"/>
    </row>
    <row r="258">
      <c r="B258" s="248"/>
      <c r="C258" s="249"/>
    </row>
    <row r="259">
      <c r="B259" s="248"/>
      <c r="C259" s="249"/>
    </row>
    <row r="260">
      <c r="B260" s="248"/>
      <c r="C260" s="249"/>
    </row>
    <row r="261">
      <c r="B261" s="248"/>
      <c r="C261" s="249"/>
    </row>
    <row r="262">
      <c r="B262" s="248"/>
      <c r="C262" s="249"/>
    </row>
    <row r="263">
      <c r="B263" s="248"/>
      <c r="C263" s="249"/>
    </row>
    <row r="264">
      <c r="B264" s="248"/>
      <c r="C264" s="249"/>
    </row>
    <row r="265">
      <c r="B265" s="248"/>
      <c r="C265" s="249"/>
    </row>
    <row r="266">
      <c r="B266" s="248"/>
      <c r="C266" s="249"/>
    </row>
    <row r="267">
      <c r="B267" s="248"/>
      <c r="C267" s="249"/>
    </row>
    <row r="268">
      <c r="B268" s="248"/>
      <c r="C268" s="249"/>
    </row>
    <row r="269">
      <c r="B269" s="248"/>
      <c r="C269" s="249"/>
    </row>
    <row r="270">
      <c r="B270" s="248"/>
      <c r="C270" s="249"/>
    </row>
    <row r="271">
      <c r="B271" s="248"/>
      <c r="C271" s="249"/>
    </row>
    <row r="272">
      <c r="B272" s="248"/>
      <c r="C272" s="249"/>
    </row>
    <row r="273">
      <c r="B273" s="248"/>
      <c r="C273" s="249"/>
    </row>
    <row r="274">
      <c r="B274" s="248"/>
      <c r="C274" s="249"/>
    </row>
    <row r="275">
      <c r="B275" s="248"/>
      <c r="C275" s="249"/>
    </row>
    <row r="276">
      <c r="B276" s="248"/>
      <c r="C276" s="249"/>
    </row>
    <row r="277">
      <c r="B277" s="248"/>
      <c r="C277" s="249"/>
    </row>
    <row r="278">
      <c r="B278" s="248"/>
      <c r="C278" s="249"/>
    </row>
    <row r="279">
      <c r="B279" s="248"/>
      <c r="C279" s="249"/>
    </row>
    <row r="280">
      <c r="B280" s="248"/>
      <c r="C280" s="249"/>
    </row>
    <row r="281">
      <c r="B281" s="248"/>
      <c r="C281" s="249"/>
    </row>
    <row r="282">
      <c r="B282" s="248"/>
      <c r="C282" s="249"/>
    </row>
    <row r="283">
      <c r="B283" s="248"/>
      <c r="C283" s="249"/>
    </row>
    <row r="284">
      <c r="B284" s="248"/>
      <c r="C284" s="249"/>
    </row>
    <row r="285">
      <c r="B285" s="248"/>
      <c r="C285" s="249"/>
    </row>
    <row r="286">
      <c r="B286" s="248"/>
      <c r="C286" s="249"/>
    </row>
    <row r="287">
      <c r="B287" s="248"/>
      <c r="C287" s="249"/>
    </row>
    <row r="288">
      <c r="B288" s="248"/>
      <c r="C288" s="249"/>
    </row>
    <row r="289">
      <c r="B289" s="248"/>
      <c r="C289" s="249"/>
    </row>
    <row r="290">
      <c r="B290" s="248"/>
      <c r="C290" s="249"/>
    </row>
    <row r="291">
      <c r="B291" s="248"/>
      <c r="C291" s="249"/>
    </row>
    <row r="292">
      <c r="B292" s="248"/>
      <c r="C292" s="249"/>
    </row>
    <row r="293">
      <c r="B293" s="248"/>
      <c r="C293" s="249"/>
    </row>
    <row r="294">
      <c r="B294" s="248"/>
      <c r="C294" s="249"/>
    </row>
    <row r="295">
      <c r="B295" s="248"/>
      <c r="C295" s="249"/>
    </row>
    <row r="296">
      <c r="B296" s="248"/>
      <c r="C296" s="249"/>
    </row>
    <row r="297">
      <c r="B297" s="248"/>
      <c r="C297" s="249"/>
    </row>
    <row r="298">
      <c r="B298" s="248"/>
      <c r="C298" s="249"/>
    </row>
    <row r="299">
      <c r="B299" s="248"/>
      <c r="C299" s="249"/>
    </row>
    <row r="300">
      <c r="B300" s="248"/>
      <c r="C300" s="249"/>
    </row>
    <row r="301">
      <c r="B301" s="248"/>
      <c r="C301" s="249"/>
    </row>
    <row r="302">
      <c r="B302" s="248"/>
      <c r="C302" s="249"/>
    </row>
    <row r="303">
      <c r="B303" s="248"/>
      <c r="C303" s="249"/>
    </row>
    <row r="304">
      <c r="B304" s="248"/>
      <c r="C304" s="249"/>
    </row>
    <row r="305">
      <c r="B305" s="248"/>
      <c r="C305" s="249"/>
    </row>
    <row r="306">
      <c r="B306" s="248"/>
      <c r="C306" s="249"/>
    </row>
    <row r="307">
      <c r="B307" s="248"/>
      <c r="C307" s="249"/>
    </row>
    <row r="308">
      <c r="B308" s="248"/>
      <c r="C308" s="249"/>
    </row>
    <row r="309">
      <c r="B309" s="248"/>
      <c r="C309" s="249"/>
    </row>
    <row r="310">
      <c r="B310" s="248"/>
      <c r="C310" s="249"/>
    </row>
    <row r="311">
      <c r="B311" s="248"/>
      <c r="C311" s="249"/>
    </row>
    <row r="312">
      <c r="B312" s="248"/>
      <c r="C312" s="249"/>
    </row>
    <row r="313">
      <c r="B313" s="248"/>
      <c r="C313" s="249"/>
    </row>
    <row r="314">
      <c r="B314" s="248"/>
      <c r="C314" s="249"/>
    </row>
    <row r="315">
      <c r="B315" s="248"/>
      <c r="C315" s="249"/>
    </row>
    <row r="316">
      <c r="B316" s="248"/>
      <c r="C316" s="249"/>
    </row>
    <row r="317">
      <c r="B317" s="248"/>
      <c r="C317" s="249"/>
    </row>
    <row r="318">
      <c r="B318" s="248"/>
      <c r="C318" s="249"/>
    </row>
    <row r="319">
      <c r="B319" s="248"/>
      <c r="C319" s="249"/>
    </row>
    <row r="320">
      <c r="B320" s="248"/>
      <c r="C320" s="249"/>
    </row>
    <row r="321">
      <c r="B321" s="248"/>
      <c r="C321" s="249"/>
    </row>
    <row r="322">
      <c r="B322" s="248"/>
      <c r="C322" s="249"/>
    </row>
    <row r="323">
      <c r="B323" s="248"/>
      <c r="C323" s="249"/>
    </row>
    <row r="324">
      <c r="B324" s="248"/>
      <c r="C324" s="249"/>
    </row>
    <row r="325">
      <c r="B325" s="248"/>
      <c r="C325" s="249"/>
    </row>
    <row r="326">
      <c r="B326" s="248"/>
      <c r="C326" s="249"/>
    </row>
    <row r="327">
      <c r="B327" s="248"/>
      <c r="C327" s="249"/>
    </row>
    <row r="328">
      <c r="B328" s="248"/>
      <c r="C328" s="249"/>
    </row>
    <row r="329">
      <c r="B329" s="248"/>
      <c r="C329" s="249"/>
    </row>
    <row r="330">
      <c r="B330" s="248"/>
      <c r="C330" s="249"/>
    </row>
    <row r="331">
      <c r="B331" s="248"/>
      <c r="C331" s="249"/>
    </row>
    <row r="332">
      <c r="B332" s="248"/>
      <c r="C332" s="249"/>
    </row>
    <row r="333">
      <c r="B333" s="248"/>
      <c r="C333" s="249"/>
    </row>
    <row r="334">
      <c r="B334" s="248"/>
      <c r="C334" s="249"/>
    </row>
    <row r="335">
      <c r="B335" s="248"/>
      <c r="C335" s="249"/>
    </row>
    <row r="336">
      <c r="B336" s="248"/>
      <c r="C336" s="249"/>
    </row>
    <row r="337">
      <c r="B337" s="248"/>
      <c r="C337" s="249"/>
    </row>
    <row r="338">
      <c r="B338" s="248"/>
      <c r="C338" s="249"/>
    </row>
    <row r="339">
      <c r="B339" s="248"/>
      <c r="C339" s="249"/>
    </row>
    <row r="340">
      <c r="B340" s="248"/>
      <c r="C340" s="249"/>
    </row>
    <row r="341">
      <c r="B341" s="248"/>
      <c r="C341" s="249"/>
    </row>
    <row r="342">
      <c r="B342" s="248"/>
      <c r="C342" s="249"/>
    </row>
    <row r="343">
      <c r="B343" s="248"/>
      <c r="C343" s="249"/>
    </row>
    <row r="344">
      <c r="B344" s="248"/>
      <c r="C344" s="249"/>
    </row>
    <row r="345">
      <c r="B345" s="248"/>
      <c r="C345" s="249"/>
    </row>
    <row r="346">
      <c r="B346" s="248"/>
      <c r="C346" s="249"/>
    </row>
    <row r="347">
      <c r="B347" s="248"/>
      <c r="C347" s="249"/>
    </row>
    <row r="348">
      <c r="B348" s="248"/>
      <c r="C348" s="249"/>
    </row>
    <row r="349">
      <c r="B349" s="248"/>
      <c r="C349" s="249"/>
    </row>
    <row r="350">
      <c r="B350" s="248"/>
      <c r="C350" s="249"/>
    </row>
    <row r="351">
      <c r="B351" s="248"/>
      <c r="C351" s="249"/>
    </row>
    <row r="352">
      <c r="B352" s="248"/>
      <c r="C352" s="249"/>
    </row>
    <row r="353">
      <c r="B353" s="248"/>
      <c r="C353" s="249"/>
    </row>
    <row r="354">
      <c r="B354" s="248"/>
      <c r="C354" s="249"/>
    </row>
    <row r="355">
      <c r="B355" s="248"/>
      <c r="C355" s="249"/>
    </row>
    <row r="356">
      <c r="B356" s="248"/>
      <c r="C356" s="249"/>
    </row>
    <row r="357">
      <c r="B357" s="248"/>
      <c r="C357" s="249"/>
    </row>
    <row r="358">
      <c r="B358" s="248"/>
      <c r="C358" s="249"/>
    </row>
    <row r="359">
      <c r="B359" s="248"/>
      <c r="C359" s="249"/>
    </row>
    <row r="360">
      <c r="B360" s="248"/>
      <c r="C360" s="249"/>
    </row>
    <row r="361">
      <c r="B361" s="248"/>
      <c r="C361" s="249"/>
    </row>
    <row r="362">
      <c r="B362" s="248"/>
      <c r="C362" s="249"/>
    </row>
    <row r="363">
      <c r="B363" s="248"/>
      <c r="C363" s="249"/>
    </row>
    <row r="364">
      <c r="B364" s="248"/>
      <c r="C364" s="249"/>
    </row>
    <row r="365">
      <c r="B365" s="248"/>
      <c r="C365" s="249"/>
    </row>
    <row r="366">
      <c r="B366" s="248"/>
      <c r="C366" s="249"/>
    </row>
    <row r="367">
      <c r="B367" s="248"/>
      <c r="C367" s="249"/>
    </row>
    <row r="368">
      <c r="B368" s="248"/>
      <c r="C368" s="249"/>
    </row>
    <row r="369">
      <c r="B369" s="248"/>
      <c r="C369" s="249"/>
    </row>
    <row r="370">
      <c r="B370" s="248"/>
      <c r="C370" s="249"/>
    </row>
    <row r="371">
      <c r="B371" s="248"/>
      <c r="C371" s="249"/>
    </row>
    <row r="372">
      <c r="B372" s="248"/>
      <c r="C372" s="249"/>
    </row>
    <row r="373">
      <c r="B373" s="248"/>
      <c r="C373" s="249"/>
    </row>
    <row r="374">
      <c r="B374" s="248"/>
      <c r="C374" s="249"/>
    </row>
    <row r="375">
      <c r="B375" s="248"/>
      <c r="C375" s="249"/>
    </row>
    <row r="376">
      <c r="B376" s="248"/>
      <c r="C376" s="249"/>
    </row>
    <row r="377">
      <c r="B377" s="248"/>
      <c r="C377" s="249"/>
    </row>
    <row r="378">
      <c r="B378" s="248"/>
      <c r="C378" s="249"/>
    </row>
    <row r="379">
      <c r="B379" s="248"/>
      <c r="C379" s="249"/>
    </row>
    <row r="380">
      <c r="B380" s="248"/>
      <c r="C380" s="249"/>
    </row>
    <row r="381">
      <c r="B381" s="248"/>
      <c r="C381" s="249"/>
    </row>
    <row r="382">
      <c r="B382" s="248"/>
      <c r="C382" s="249"/>
    </row>
    <row r="383">
      <c r="B383" s="248"/>
      <c r="C383" s="249"/>
    </row>
    <row r="384">
      <c r="B384" s="248"/>
      <c r="C384" s="249"/>
    </row>
    <row r="385">
      <c r="B385" s="248"/>
      <c r="C385" s="249"/>
    </row>
    <row r="386">
      <c r="B386" s="248"/>
      <c r="C386" s="249"/>
    </row>
    <row r="387">
      <c r="B387" s="248"/>
      <c r="C387" s="249"/>
    </row>
    <row r="388">
      <c r="B388" s="248"/>
      <c r="C388" s="249"/>
    </row>
    <row r="389">
      <c r="B389" s="248"/>
      <c r="C389" s="249"/>
    </row>
    <row r="390">
      <c r="B390" s="248"/>
      <c r="C390" s="249"/>
    </row>
    <row r="391">
      <c r="B391" s="248"/>
      <c r="C391" s="249"/>
    </row>
    <row r="392">
      <c r="B392" s="248"/>
      <c r="C392" s="249"/>
    </row>
    <row r="393">
      <c r="B393" s="248"/>
      <c r="C393" s="249"/>
    </row>
    <row r="394">
      <c r="B394" s="248"/>
      <c r="C394" s="249"/>
    </row>
    <row r="395">
      <c r="B395" s="248"/>
      <c r="C395" s="249"/>
    </row>
    <row r="396">
      <c r="B396" s="248"/>
      <c r="C396" s="249"/>
    </row>
    <row r="397">
      <c r="B397" s="248"/>
      <c r="C397" s="249"/>
    </row>
    <row r="398">
      <c r="B398" s="248"/>
      <c r="C398" s="249"/>
    </row>
    <row r="399">
      <c r="B399" s="248"/>
      <c r="C399" s="249"/>
    </row>
    <row r="400">
      <c r="B400" s="248"/>
      <c r="C400" s="249"/>
    </row>
    <row r="401">
      <c r="B401" s="248"/>
      <c r="C401" s="249"/>
    </row>
    <row r="402">
      <c r="B402" s="248"/>
      <c r="C402" s="249"/>
    </row>
    <row r="403">
      <c r="B403" s="248"/>
      <c r="C403" s="249"/>
    </row>
    <row r="404">
      <c r="B404" s="248"/>
      <c r="C404" s="249"/>
    </row>
    <row r="405">
      <c r="B405" s="248"/>
      <c r="C405" s="249"/>
    </row>
    <row r="406">
      <c r="B406" s="248"/>
      <c r="C406" s="249"/>
    </row>
    <row r="407">
      <c r="B407" s="248"/>
      <c r="C407" s="249"/>
    </row>
    <row r="408">
      <c r="B408" s="248"/>
      <c r="C408" s="249"/>
    </row>
    <row r="409">
      <c r="B409" s="248"/>
      <c r="C409" s="249"/>
    </row>
    <row r="410">
      <c r="B410" s="248"/>
      <c r="C410" s="249"/>
    </row>
    <row r="411">
      <c r="B411" s="248"/>
      <c r="C411" s="249"/>
    </row>
    <row r="412">
      <c r="B412" s="248"/>
      <c r="C412" s="249"/>
    </row>
    <row r="413">
      <c r="B413" s="248"/>
      <c r="C413" s="249"/>
    </row>
    <row r="414">
      <c r="B414" s="248"/>
      <c r="C414" s="249"/>
    </row>
    <row r="415">
      <c r="B415" s="248"/>
      <c r="C415" s="249"/>
    </row>
    <row r="416">
      <c r="B416" s="248"/>
      <c r="C416" s="249"/>
    </row>
    <row r="417">
      <c r="B417" s="248"/>
      <c r="C417" s="249"/>
    </row>
    <row r="418">
      <c r="B418" s="248"/>
      <c r="C418" s="249"/>
    </row>
    <row r="419">
      <c r="B419" s="248"/>
      <c r="C419" s="249"/>
    </row>
    <row r="420">
      <c r="B420" s="248"/>
      <c r="C420" s="249"/>
    </row>
    <row r="421">
      <c r="B421" s="248"/>
      <c r="C421" s="249"/>
    </row>
    <row r="422">
      <c r="B422" s="248"/>
      <c r="C422" s="249"/>
    </row>
    <row r="423">
      <c r="B423" s="248"/>
      <c r="C423" s="249"/>
    </row>
    <row r="424">
      <c r="B424" s="248"/>
      <c r="C424" s="249"/>
    </row>
    <row r="425">
      <c r="B425" s="248"/>
      <c r="C425" s="249"/>
    </row>
    <row r="426">
      <c r="B426" s="248"/>
      <c r="C426" s="249"/>
    </row>
    <row r="427">
      <c r="B427" s="248"/>
      <c r="C427" s="249"/>
    </row>
    <row r="428">
      <c r="B428" s="248"/>
      <c r="C428" s="249"/>
    </row>
    <row r="429">
      <c r="B429" s="248"/>
      <c r="C429" s="249"/>
    </row>
    <row r="430">
      <c r="B430" s="248"/>
      <c r="C430" s="249"/>
    </row>
    <row r="431">
      <c r="B431" s="248"/>
      <c r="C431" s="249"/>
    </row>
    <row r="432">
      <c r="B432" s="248"/>
      <c r="C432" s="249"/>
    </row>
    <row r="433">
      <c r="B433" s="248"/>
      <c r="C433" s="249"/>
    </row>
    <row r="434">
      <c r="B434" s="248"/>
      <c r="C434" s="249"/>
    </row>
    <row r="435">
      <c r="B435" s="248"/>
      <c r="C435" s="249"/>
    </row>
    <row r="436">
      <c r="B436" s="248"/>
      <c r="C436" s="249"/>
    </row>
    <row r="437">
      <c r="B437" s="248"/>
      <c r="C437" s="249"/>
    </row>
    <row r="438">
      <c r="B438" s="248"/>
      <c r="C438" s="249"/>
    </row>
    <row r="439">
      <c r="B439" s="248"/>
      <c r="C439" s="249"/>
    </row>
    <row r="440">
      <c r="B440" s="248"/>
      <c r="C440" s="249"/>
    </row>
    <row r="441">
      <c r="B441" s="248"/>
      <c r="C441" s="249"/>
    </row>
    <row r="442">
      <c r="B442" s="248"/>
      <c r="C442" s="249"/>
    </row>
    <row r="443">
      <c r="B443" s="248"/>
      <c r="C443" s="249"/>
    </row>
    <row r="444">
      <c r="B444" s="248"/>
      <c r="C444" s="249"/>
    </row>
    <row r="445">
      <c r="B445" s="248"/>
      <c r="C445" s="249"/>
    </row>
    <row r="446">
      <c r="B446" s="248"/>
      <c r="C446" s="249"/>
    </row>
    <row r="447">
      <c r="B447" s="248"/>
      <c r="C447" s="249"/>
    </row>
    <row r="448">
      <c r="B448" s="248"/>
      <c r="C448" s="249"/>
    </row>
    <row r="449">
      <c r="B449" s="248"/>
      <c r="C449" s="249"/>
    </row>
    <row r="450">
      <c r="B450" s="248"/>
      <c r="C450" s="249"/>
    </row>
    <row r="451">
      <c r="B451" s="248"/>
      <c r="C451" s="249"/>
    </row>
    <row r="452">
      <c r="B452" s="248"/>
      <c r="C452" s="249"/>
    </row>
    <row r="453">
      <c r="B453" s="248"/>
      <c r="C453" s="249"/>
    </row>
    <row r="454">
      <c r="B454" s="248"/>
      <c r="C454" s="249"/>
    </row>
    <row r="455">
      <c r="B455" s="248"/>
      <c r="C455" s="249"/>
    </row>
    <row r="456">
      <c r="B456" s="248"/>
      <c r="C456" s="249"/>
    </row>
    <row r="457">
      <c r="B457" s="248"/>
      <c r="C457" s="249"/>
    </row>
    <row r="458">
      <c r="B458" s="248"/>
      <c r="C458" s="249"/>
    </row>
    <row r="459">
      <c r="B459" s="248"/>
      <c r="C459" s="249"/>
    </row>
    <row r="460">
      <c r="B460" s="248"/>
      <c r="C460" s="249"/>
    </row>
    <row r="461">
      <c r="B461" s="248"/>
      <c r="C461" s="249"/>
    </row>
    <row r="462">
      <c r="B462" s="248"/>
      <c r="C462" s="249"/>
    </row>
    <row r="463">
      <c r="B463" s="248"/>
      <c r="C463" s="249"/>
    </row>
    <row r="464">
      <c r="B464" s="248"/>
      <c r="C464" s="249"/>
    </row>
    <row r="465">
      <c r="B465" s="248"/>
      <c r="C465" s="249"/>
    </row>
    <row r="466">
      <c r="B466" s="248"/>
      <c r="C466" s="249"/>
    </row>
    <row r="467">
      <c r="B467" s="248"/>
      <c r="C467" s="249"/>
    </row>
    <row r="468">
      <c r="B468" s="248"/>
      <c r="C468" s="249"/>
    </row>
    <row r="469">
      <c r="B469" s="248"/>
      <c r="C469" s="249"/>
    </row>
    <row r="470">
      <c r="B470" s="248"/>
      <c r="C470" s="249"/>
    </row>
    <row r="471">
      <c r="B471" s="248"/>
      <c r="C471" s="249"/>
    </row>
    <row r="472">
      <c r="B472" s="248"/>
      <c r="C472" s="249"/>
    </row>
    <row r="473">
      <c r="B473" s="248"/>
      <c r="C473" s="249"/>
    </row>
    <row r="474">
      <c r="B474" s="248"/>
      <c r="C474" s="249"/>
    </row>
    <row r="475">
      <c r="B475" s="248"/>
      <c r="C475" s="249"/>
    </row>
    <row r="476">
      <c r="B476" s="248"/>
      <c r="C476" s="249"/>
    </row>
    <row r="477">
      <c r="B477" s="248"/>
      <c r="C477" s="249"/>
    </row>
    <row r="478">
      <c r="B478" s="248"/>
      <c r="C478" s="249"/>
    </row>
    <row r="479">
      <c r="B479" s="248"/>
      <c r="C479" s="249"/>
    </row>
    <row r="480">
      <c r="B480" s="248"/>
      <c r="C480" s="249"/>
    </row>
    <row r="481">
      <c r="B481" s="248"/>
      <c r="C481" s="249"/>
    </row>
    <row r="482">
      <c r="B482" s="248"/>
      <c r="C482" s="249"/>
    </row>
    <row r="483">
      <c r="B483" s="248"/>
      <c r="C483" s="249"/>
    </row>
    <row r="484">
      <c r="B484" s="248"/>
      <c r="C484" s="249"/>
    </row>
    <row r="485">
      <c r="B485" s="248"/>
      <c r="C485" s="249"/>
    </row>
    <row r="486">
      <c r="B486" s="248"/>
      <c r="C486" s="249"/>
    </row>
    <row r="487">
      <c r="B487" s="248"/>
      <c r="C487" s="249"/>
    </row>
    <row r="488">
      <c r="B488" s="248"/>
      <c r="C488" s="249"/>
    </row>
    <row r="489">
      <c r="B489" s="248"/>
      <c r="C489" s="249"/>
    </row>
    <row r="490">
      <c r="B490" s="248"/>
      <c r="C490" s="249"/>
    </row>
    <row r="491">
      <c r="B491" s="248"/>
      <c r="C491" s="249"/>
    </row>
    <row r="492">
      <c r="B492" s="248"/>
      <c r="C492" s="249"/>
    </row>
    <row r="493">
      <c r="B493" s="248"/>
      <c r="C493" s="249"/>
    </row>
    <row r="494">
      <c r="B494" s="248"/>
      <c r="C494" s="249"/>
    </row>
    <row r="495">
      <c r="B495" s="248"/>
      <c r="C495" s="249"/>
    </row>
    <row r="496">
      <c r="B496" s="248"/>
      <c r="C496" s="249"/>
    </row>
    <row r="497">
      <c r="B497" s="248"/>
      <c r="C497" s="249"/>
    </row>
    <row r="498">
      <c r="B498" s="248"/>
      <c r="C498" s="249"/>
    </row>
    <row r="499">
      <c r="B499" s="248"/>
      <c r="C499" s="249"/>
    </row>
    <row r="500">
      <c r="B500" s="248"/>
      <c r="C500" s="249"/>
    </row>
    <row r="501">
      <c r="B501" s="248"/>
      <c r="C501" s="249"/>
    </row>
    <row r="502">
      <c r="B502" s="248"/>
      <c r="C502" s="249"/>
    </row>
    <row r="503">
      <c r="B503" s="248"/>
      <c r="C503" s="249"/>
    </row>
    <row r="504">
      <c r="B504" s="248"/>
      <c r="C504" s="249"/>
    </row>
    <row r="505">
      <c r="B505" s="248"/>
      <c r="C505" s="249"/>
    </row>
    <row r="506">
      <c r="B506" s="248"/>
      <c r="C506" s="249"/>
    </row>
    <row r="507">
      <c r="B507" s="248"/>
      <c r="C507" s="249"/>
    </row>
    <row r="508">
      <c r="B508" s="248"/>
      <c r="C508" s="249"/>
    </row>
    <row r="509">
      <c r="B509" s="248"/>
      <c r="C509" s="249"/>
    </row>
    <row r="510">
      <c r="B510" s="248"/>
      <c r="C510" s="249"/>
    </row>
    <row r="511">
      <c r="B511" s="248"/>
      <c r="C511" s="249"/>
    </row>
    <row r="512">
      <c r="B512" s="248"/>
      <c r="C512" s="249"/>
    </row>
    <row r="513">
      <c r="B513" s="248"/>
      <c r="C513" s="249"/>
    </row>
    <row r="514">
      <c r="B514" s="248"/>
      <c r="C514" s="249"/>
    </row>
    <row r="515">
      <c r="B515" s="248"/>
      <c r="C515" s="249"/>
    </row>
    <row r="516">
      <c r="B516" s="248"/>
      <c r="C516" s="249"/>
    </row>
    <row r="517">
      <c r="B517" s="248"/>
      <c r="C517" s="249"/>
    </row>
    <row r="518">
      <c r="B518" s="248"/>
      <c r="C518" s="249"/>
    </row>
    <row r="519">
      <c r="B519" s="248"/>
      <c r="C519" s="249"/>
    </row>
    <row r="520">
      <c r="B520" s="248"/>
      <c r="C520" s="249"/>
    </row>
    <row r="521">
      <c r="B521" s="248"/>
      <c r="C521" s="249"/>
    </row>
    <row r="522">
      <c r="B522" s="248"/>
      <c r="C522" s="249"/>
    </row>
    <row r="523">
      <c r="B523" s="248"/>
      <c r="C523" s="249"/>
    </row>
    <row r="524">
      <c r="B524" s="248"/>
      <c r="C524" s="249"/>
    </row>
    <row r="525">
      <c r="B525" s="248"/>
      <c r="C525" s="249"/>
    </row>
    <row r="526">
      <c r="B526" s="248"/>
      <c r="C526" s="249"/>
    </row>
    <row r="527">
      <c r="B527" s="248"/>
      <c r="C527" s="249"/>
    </row>
    <row r="528">
      <c r="B528" s="248"/>
      <c r="C528" s="249"/>
    </row>
    <row r="529">
      <c r="B529" s="248"/>
      <c r="C529" s="249"/>
    </row>
    <row r="530">
      <c r="B530" s="248"/>
      <c r="C530" s="249"/>
    </row>
    <row r="531">
      <c r="B531" s="248"/>
      <c r="C531" s="249"/>
    </row>
    <row r="532">
      <c r="B532" s="248"/>
      <c r="C532" s="249"/>
    </row>
    <row r="533">
      <c r="B533" s="248"/>
      <c r="C533" s="249"/>
    </row>
    <row r="534">
      <c r="B534" s="248"/>
      <c r="C534" s="249"/>
    </row>
    <row r="535">
      <c r="B535" s="248"/>
      <c r="C535" s="249"/>
    </row>
    <row r="536">
      <c r="B536" s="248"/>
      <c r="C536" s="249"/>
    </row>
    <row r="537">
      <c r="B537" s="248"/>
      <c r="C537" s="249"/>
    </row>
    <row r="538">
      <c r="B538" s="248"/>
      <c r="C538" s="249"/>
    </row>
    <row r="539">
      <c r="B539" s="248"/>
      <c r="C539" s="249"/>
    </row>
    <row r="540">
      <c r="B540" s="248"/>
      <c r="C540" s="249"/>
    </row>
    <row r="541">
      <c r="B541" s="248"/>
      <c r="C541" s="249"/>
    </row>
    <row r="542">
      <c r="B542" s="248"/>
      <c r="C542" s="249"/>
    </row>
    <row r="543">
      <c r="B543" s="248"/>
      <c r="C543" s="249"/>
    </row>
    <row r="544">
      <c r="B544" s="248"/>
      <c r="C544" s="249"/>
    </row>
    <row r="545">
      <c r="B545" s="248"/>
      <c r="C545" s="249"/>
    </row>
    <row r="546">
      <c r="B546" s="248"/>
      <c r="C546" s="249"/>
    </row>
    <row r="547">
      <c r="B547" s="248"/>
      <c r="C547" s="249"/>
    </row>
    <row r="548">
      <c r="B548" s="248"/>
      <c r="C548" s="249"/>
    </row>
    <row r="549">
      <c r="B549" s="248"/>
      <c r="C549" s="249"/>
    </row>
    <row r="550">
      <c r="B550" s="248"/>
      <c r="C550" s="249"/>
    </row>
    <row r="551">
      <c r="B551" s="248"/>
      <c r="C551" s="249"/>
    </row>
    <row r="552">
      <c r="B552" s="248"/>
      <c r="C552" s="249"/>
    </row>
    <row r="553">
      <c r="B553" s="248"/>
      <c r="C553" s="249"/>
    </row>
    <row r="554">
      <c r="B554" s="248"/>
      <c r="C554" s="249"/>
    </row>
    <row r="555">
      <c r="B555" s="248"/>
      <c r="C555" s="249"/>
    </row>
    <row r="556">
      <c r="B556" s="248"/>
      <c r="C556" s="249"/>
    </row>
    <row r="557">
      <c r="B557" s="248"/>
      <c r="C557" s="249"/>
    </row>
    <row r="558">
      <c r="B558" s="248"/>
      <c r="C558" s="249"/>
    </row>
    <row r="559">
      <c r="B559" s="248"/>
      <c r="C559" s="249"/>
    </row>
    <row r="560">
      <c r="B560" s="248"/>
      <c r="C560" s="249"/>
    </row>
    <row r="561">
      <c r="B561" s="248"/>
      <c r="C561" s="249"/>
    </row>
    <row r="562">
      <c r="B562" s="248"/>
      <c r="C562" s="249"/>
    </row>
    <row r="563">
      <c r="B563" s="248"/>
      <c r="C563" s="249"/>
    </row>
    <row r="564">
      <c r="B564" s="248"/>
      <c r="C564" s="249"/>
    </row>
    <row r="565">
      <c r="B565" s="248"/>
      <c r="C565" s="249"/>
    </row>
    <row r="566">
      <c r="B566" s="248"/>
      <c r="C566" s="249"/>
    </row>
    <row r="567">
      <c r="B567" s="248"/>
      <c r="C567" s="249"/>
    </row>
    <row r="568">
      <c r="B568" s="248"/>
      <c r="C568" s="249"/>
    </row>
    <row r="569">
      <c r="B569" s="248"/>
      <c r="C569" s="249"/>
    </row>
    <row r="570">
      <c r="B570" s="248"/>
      <c r="C570" s="249"/>
    </row>
    <row r="571">
      <c r="B571" s="248"/>
      <c r="C571" s="249"/>
    </row>
    <row r="572">
      <c r="B572" s="248"/>
      <c r="C572" s="249"/>
    </row>
    <row r="573">
      <c r="B573" s="248"/>
      <c r="C573" s="249"/>
    </row>
    <row r="574">
      <c r="B574" s="248"/>
      <c r="C574" s="249"/>
    </row>
    <row r="575">
      <c r="B575" s="248"/>
      <c r="C575" s="249"/>
    </row>
    <row r="576">
      <c r="B576" s="248"/>
      <c r="C576" s="249"/>
    </row>
    <row r="577">
      <c r="B577" s="248"/>
      <c r="C577" s="249"/>
    </row>
    <row r="578">
      <c r="B578" s="248"/>
      <c r="C578" s="249"/>
    </row>
    <row r="579">
      <c r="B579" s="248"/>
      <c r="C579" s="249"/>
    </row>
    <row r="580">
      <c r="B580" s="248"/>
      <c r="C580" s="249"/>
    </row>
    <row r="581">
      <c r="B581" s="248"/>
      <c r="C581" s="249"/>
    </row>
    <row r="582">
      <c r="B582" s="248"/>
      <c r="C582" s="249"/>
    </row>
    <row r="583">
      <c r="B583" s="248"/>
      <c r="C583" s="249"/>
    </row>
    <row r="584">
      <c r="B584" s="248"/>
      <c r="C584" s="249"/>
    </row>
    <row r="585">
      <c r="B585" s="248"/>
      <c r="C585" s="249"/>
    </row>
    <row r="586">
      <c r="B586" s="248"/>
      <c r="C586" s="249"/>
    </row>
    <row r="587">
      <c r="B587" s="248"/>
      <c r="C587" s="249"/>
    </row>
    <row r="588">
      <c r="B588" s="248"/>
      <c r="C588" s="249"/>
    </row>
    <row r="589">
      <c r="B589" s="248"/>
      <c r="C589" s="249"/>
    </row>
    <row r="590">
      <c r="B590" s="248"/>
      <c r="C590" s="249"/>
    </row>
    <row r="591">
      <c r="B591" s="248"/>
      <c r="C591" s="249"/>
    </row>
    <row r="592">
      <c r="B592" s="248"/>
      <c r="C592" s="249"/>
    </row>
    <row r="593">
      <c r="B593" s="248"/>
      <c r="C593" s="249"/>
    </row>
    <row r="594">
      <c r="B594" s="248"/>
      <c r="C594" s="249"/>
    </row>
    <row r="595">
      <c r="B595" s="248"/>
      <c r="C595" s="249"/>
    </row>
    <row r="596">
      <c r="B596" s="248"/>
      <c r="C596" s="249"/>
    </row>
    <row r="597">
      <c r="B597" s="248"/>
      <c r="C597" s="249"/>
    </row>
    <row r="598">
      <c r="B598" s="248"/>
      <c r="C598" s="249"/>
    </row>
    <row r="599">
      <c r="B599" s="248"/>
      <c r="C599" s="249"/>
    </row>
    <row r="600">
      <c r="B600" s="248"/>
      <c r="C600" s="249"/>
    </row>
    <row r="601">
      <c r="B601" s="248"/>
      <c r="C601" s="249"/>
    </row>
    <row r="602">
      <c r="B602" s="248"/>
      <c r="C602" s="249"/>
    </row>
    <row r="603">
      <c r="B603" s="248"/>
      <c r="C603" s="249"/>
    </row>
    <row r="604">
      <c r="B604" s="248"/>
      <c r="C604" s="249"/>
    </row>
    <row r="605">
      <c r="B605" s="248"/>
      <c r="C605" s="249"/>
    </row>
    <row r="606">
      <c r="B606" s="248"/>
      <c r="C606" s="249"/>
    </row>
    <row r="607">
      <c r="B607" s="248"/>
      <c r="C607" s="249"/>
    </row>
    <row r="608">
      <c r="B608" s="248"/>
      <c r="C608" s="249"/>
    </row>
    <row r="609">
      <c r="B609" s="248"/>
      <c r="C609" s="249"/>
    </row>
    <row r="610">
      <c r="B610" s="248"/>
      <c r="C610" s="249"/>
    </row>
    <row r="611">
      <c r="B611" s="248"/>
      <c r="C611" s="249"/>
    </row>
    <row r="612">
      <c r="B612" s="248"/>
      <c r="C612" s="249"/>
    </row>
    <row r="613">
      <c r="B613" s="248"/>
      <c r="C613" s="249"/>
    </row>
    <row r="614">
      <c r="B614" s="248"/>
      <c r="C614" s="249"/>
    </row>
    <row r="615">
      <c r="B615" s="248"/>
      <c r="C615" s="249"/>
    </row>
    <row r="616">
      <c r="B616" s="248"/>
      <c r="C616" s="249"/>
    </row>
    <row r="617">
      <c r="B617" s="248"/>
      <c r="C617" s="249"/>
    </row>
    <row r="618">
      <c r="B618" s="248"/>
      <c r="C618" s="249"/>
    </row>
    <row r="619">
      <c r="B619" s="248"/>
      <c r="C619" s="249"/>
    </row>
    <row r="620">
      <c r="B620" s="248"/>
      <c r="C620" s="249"/>
    </row>
    <row r="621">
      <c r="B621" s="248"/>
      <c r="C621" s="249"/>
    </row>
    <row r="622">
      <c r="B622" s="248"/>
      <c r="C622" s="249"/>
    </row>
    <row r="623">
      <c r="B623" s="248"/>
      <c r="C623" s="249"/>
    </row>
    <row r="624">
      <c r="B624" s="248"/>
      <c r="C624" s="249"/>
    </row>
    <row r="625">
      <c r="B625" s="248"/>
      <c r="C625" s="249"/>
    </row>
    <row r="626">
      <c r="B626" s="248"/>
      <c r="C626" s="249"/>
    </row>
    <row r="627">
      <c r="B627" s="248"/>
      <c r="C627" s="249"/>
    </row>
    <row r="628">
      <c r="B628" s="248"/>
      <c r="C628" s="249"/>
    </row>
    <row r="629">
      <c r="B629" s="248"/>
      <c r="C629" s="249"/>
    </row>
    <row r="630">
      <c r="B630" s="248"/>
      <c r="C630" s="249"/>
    </row>
    <row r="631">
      <c r="B631" s="248"/>
      <c r="C631" s="249"/>
    </row>
    <row r="632">
      <c r="B632" s="248"/>
      <c r="C632" s="249"/>
    </row>
    <row r="633">
      <c r="B633" s="248"/>
      <c r="C633" s="249"/>
    </row>
    <row r="634">
      <c r="B634" s="248"/>
      <c r="C634" s="249"/>
    </row>
    <row r="635">
      <c r="B635" s="248"/>
      <c r="C635" s="249"/>
    </row>
    <row r="636">
      <c r="B636" s="248"/>
      <c r="C636" s="249"/>
    </row>
    <row r="637">
      <c r="B637" s="248"/>
      <c r="C637" s="249"/>
    </row>
    <row r="638">
      <c r="B638" s="248"/>
      <c r="C638" s="249"/>
    </row>
    <row r="639">
      <c r="B639" s="248"/>
      <c r="C639" s="249"/>
    </row>
    <row r="640">
      <c r="B640" s="248"/>
      <c r="C640" s="249"/>
    </row>
    <row r="641">
      <c r="B641" s="248"/>
      <c r="C641" s="249"/>
    </row>
    <row r="642">
      <c r="B642" s="248"/>
      <c r="C642" s="249"/>
    </row>
    <row r="643">
      <c r="B643" s="248"/>
      <c r="C643" s="249"/>
    </row>
    <row r="644">
      <c r="B644" s="248"/>
      <c r="C644" s="249"/>
    </row>
    <row r="645">
      <c r="B645" s="248"/>
      <c r="C645" s="249"/>
    </row>
    <row r="646">
      <c r="B646" s="248"/>
      <c r="C646" s="249"/>
    </row>
    <row r="647">
      <c r="B647" s="248"/>
      <c r="C647" s="249"/>
    </row>
    <row r="648">
      <c r="B648" s="248"/>
      <c r="C648" s="249"/>
    </row>
    <row r="649">
      <c r="B649" s="248"/>
      <c r="C649" s="249"/>
    </row>
    <row r="650">
      <c r="B650" s="248"/>
      <c r="C650" s="249"/>
    </row>
    <row r="651">
      <c r="B651" s="248"/>
      <c r="C651" s="249"/>
    </row>
    <row r="652">
      <c r="B652" s="248"/>
      <c r="C652" s="249"/>
    </row>
    <row r="653">
      <c r="B653" s="248"/>
      <c r="C653" s="249"/>
    </row>
    <row r="654">
      <c r="B654" s="248"/>
      <c r="C654" s="249"/>
    </row>
    <row r="655">
      <c r="B655" s="248"/>
      <c r="C655" s="249"/>
    </row>
    <row r="656">
      <c r="B656" s="248"/>
      <c r="C656" s="249"/>
    </row>
    <row r="657">
      <c r="B657" s="248"/>
      <c r="C657" s="249"/>
    </row>
    <row r="658">
      <c r="B658" s="248"/>
      <c r="C658" s="249"/>
    </row>
    <row r="659">
      <c r="B659" s="248"/>
      <c r="C659" s="249"/>
    </row>
    <row r="660">
      <c r="B660" s="248"/>
      <c r="C660" s="249"/>
    </row>
    <row r="661">
      <c r="B661" s="248"/>
      <c r="C661" s="249"/>
    </row>
    <row r="662">
      <c r="B662" s="248"/>
      <c r="C662" s="249"/>
    </row>
    <row r="663">
      <c r="B663" s="248"/>
      <c r="C663" s="249"/>
    </row>
    <row r="664">
      <c r="B664" s="248"/>
      <c r="C664" s="249"/>
    </row>
    <row r="665">
      <c r="B665" s="248"/>
      <c r="C665" s="249"/>
    </row>
    <row r="666">
      <c r="B666" s="248"/>
      <c r="C666" s="249"/>
    </row>
    <row r="667">
      <c r="B667" s="248"/>
      <c r="C667" s="249"/>
    </row>
    <row r="668">
      <c r="B668" s="248"/>
      <c r="C668" s="249"/>
    </row>
    <row r="669">
      <c r="B669" s="248"/>
      <c r="C669" s="249"/>
    </row>
    <row r="670">
      <c r="B670" s="248"/>
      <c r="C670" s="249"/>
    </row>
    <row r="671">
      <c r="B671" s="248"/>
      <c r="C671" s="249"/>
    </row>
    <row r="672">
      <c r="B672" s="248"/>
      <c r="C672" s="249"/>
    </row>
    <row r="673">
      <c r="B673" s="248"/>
      <c r="C673" s="249"/>
    </row>
    <row r="674">
      <c r="B674" s="248"/>
      <c r="C674" s="249"/>
    </row>
    <row r="675">
      <c r="B675" s="248"/>
      <c r="C675" s="249"/>
    </row>
    <row r="676">
      <c r="B676" s="248"/>
      <c r="C676" s="249"/>
    </row>
    <row r="677">
      <c r="B677" s="248"/>
      <c r="C677" s="249"/>
    </row>
    <row r="678">
      <c r="B678" s="248"/>
      <c r="C678" s="249"/>
    </row>
    <row r="679">
      <c r="B679" s="248"/>
      <c r="C679" s="249"/>
    </row>
    <row r="680">
      <c r="B680" s="248"/>
      <c r="C680" s="249"/>
    </row>
    <row r="681">
      <c r="B681" s="248"/>
      <c r="C681" s="249"/>
    </row>
    <row r="682">
      <c r="B682" s="248"/>
      <c r="C682" s="249"/>
    </row>
    <row r="683">
      <c r="B683" s="248"/>
      <c r="C683" s="249"/>
    </row>
    <row r="684">
      <c r="B684" s="248"/>
      <c r="C684" s="249"/>
    </row>
    <row r="685">
      <c r="B685" s="248"/>
      <c r="C685" s="249"/>
    </row>
    <row r="686">
      <c r="B686" s="248"/>
      <c r="C686" s="249"/>
    </row>
    <row r="687">
      <c r="B687" s="248"/>
      <c r="C687" s="249"/>
    </row>
    <row r="688">
      <c r="B688" s="248"/>
      <c r="C688" s="249"/>
    </row>
    <row r="689">
      <c r="B689" s="248"/>
      <c r="C689" s="249"/>
    </row>
    <row r="690">
      <c r="B690" s="248"/>
      <c r="C690" s="249"/>
    </row>
    <row r="691">
      <c r="B691" s="248"/>
      <c r="C691" s="249"/>
    </row>
    <row r="692">
      <c r="B692" s="248"/>
      <c r="C692" s="249"/>
    </row>
    <row r="693">
      <c r="B693" s="248"/>
      <c r="C693" s="249"/>
    </row>
    <row r="694">
      <c r="B694" s="248"/>
      <c r="C694" s="249"/>
    </row>
    <row r="695">
      <c r="B695" s="248"/>
      <c r="C695" s="249"/>
    </row>
    <row r="696">
      <c r="B696" s="248"/>
      <c r="C696" s="249"/>
    </row>
    <row r="697">
      <c r="B697" s="248"/>
      <c r="C697" s="249"/>
    </row>
    <row r="698">
      <c r="B698" s="248"/>
      <c r="C698" s="249"/>
    </row>
    <row r="699">
      <c r="B699" s="248"/>
      <c r="C699" s="249"/>
    </row>
    <row r="700">
      <c r="B700" s="248"/>
      <c r="C700" s="249"/>
    </row>
    <row r="701">
      <c r="B701" s="248"/>
      <c r="C701" s="249"/>
    </row>
    <row r="702">
      <c r="B702" s="248"/>
      <c r="C702" s="249"/>
    </row>
    <row r="703">
      <c r="B703" s="248"/>
      <c r="C703" s="249"/>
    </row>
    <row r="704">
      <c r="B704" s="248"/>
      <c r="C704" s="249"/>
    </row>
    <row r="705">
      <c r="B705" s="248"/>
      <c r="C705" s="249"/>
    </row>
    <row r="706">
      <c r="B706" s="248"/>
      <c r="C706" s="249"/>
    </row>
    <row r="707">
      <c r="B707" s="248"/>
      <c r="C707" s="249"/>
    </row>
    <row r="708">
      <c r="B708" s="248"/>
      <c r="C708" s="249"/>
    </row>
    <row r="709">
      <c r="B709" s="248"/>
      <c r="C709" s="249"/>
    </row>
    <row r="710">
      <c r="B710" s="248"/>
      <c r="C710" s="249"/>
    </row>
    <row r="711">
      <c r="B711" s="248"/>
      <c r="C711" s="249"/>
    </row>
    <row r="712">
      <c r="B712" s="248"/>
      <c r="C712" s="249"/>
    </row>
    <row r="713">
      <c r="B713" s="248"/>
      <c r="C713" s="249"/>
    </row>
    <row r="714">
      <c r="B714" s="248"/>
      <c r="C714" s="249"/>
    </row>
    <row r="715">
      <c r="B715" s="248"/>
      <c r="C715" s="249"/>
    </row>
    <row r="716">
      <c r="B716" s="248"/>
      <c r="C716" s="249"/>
    </row>
    <row r="717">
      <c r="B717" s="248"/>
      <c r="C717" s="249"/>
    </row>
    <row r="718">
      <c r="B718" s="248"/>
      <c r="C718" s="249"/>
    </row>
    <row r="719">
      <c r="B719" s="248"/>
      <c r="C719" s="249"/>
    </row>
    <row r="720">
      <c r="B720" s="248"/>
      <c r="C720" s="249"/>
    </row>
    <row r="721">
      <c r="B721" s="248"/>
      <c r="C721" s="249"/>
    </row>
    <row r="722">
      <c r="B722" s="248"/>
      <c r="C722" s="249"/>
    </row>
    <row r="723">
      <c r="B723" s="248"/>
      <c r="C723" s="249"/>
    </row>
    <row r="724">
      <c r="B724" s="248"/>
      <c r="C724" s="249"/>
    </row>
    <row r="725">
      <c r="B725" s="248"/>
      <c r="C725" s="249"/>
    </row>
    <row r="726">
      <c r="B726" s="248"/>
      <c r="C726" s="249"/>
    </row>
    <row r="727">
      <c r="B727" s="248"/>
      <c r="C727" s="249"/>
    </row>
    <row r="728">
      <c r="B728" s="248"/>
      <c r="C728" s="249"/>
    </row>
    <row r="729">
      <c r="B729" s="248"/>
      <c r="C729" s="249"/>
    </row>
    <row r="730">
      <c r="B730" s="248"/>
      <c r="C730" s="249"/>
    </row>
    <row r="731">
      <c r="B731" s="248"/>
      <c r="C731" s="249"/>
    </row>
    <row r="732">
      <c r="B732" s="248"/>
      <c r="C732" s="249"/>
    </row>
    <row r="733">
      <c r="B733" s="248"/>
      <c r="C733" s="249"/>
    </row>
    <row r="734">
      <c r="B734" s="248"/>
      <c r="C734" s="249"/>
    </row>
    <row r="735">
      <c r="B735" s="248"/>
      <c r="C735" s="249"/>
    </row>
    <row r="736">
      <c r="B736" s="248"/>
      <c r="C736" s="249"/>
    </row>
    <row r="737">
      <c r="B737" s="248"/>
      <c r="C737" s="249"/>
    </row>
    <row r="738">
      <c r="B738" s="248"/>
      <c r="C738" s="249"/>
    </row>
    <row r="739">
      <c r="B739" s="248"/>
      <c r="C739" s="249"/>
    </row>
    <row r="740">
      <c r="B740" s="248"/>
      <c r="C740" s="249"/>
    </row>
    <row r="741">
      <c r="B741" s="248"/>
      <c r="C741" s="249"/>
    </row>
    <row r="742">
      <c r="B742" s="248"/>
      <c r="C742" s="249"/>
    </row>
    <row r="743">
      <c r="B743" s="248"/>
      <c r="C743" s="249"/>
    </row>
    <row r="744">
      <c r="B744" s="248"/>
      <c r="C744" s="249"/>
    </row>
    <row r="745">
      <c r="B745" s="248"/>
      <c r="C745" s="249"/>
    </row>
    <row r="746">
      <c r="B746" s="248"/>
      <c r="C746" s="249"/>
    </row>
    <row r="747">
      <c r="B747" s="248"/>
      <c r="C747" s="249"/>
    </row>
    <row r="748">
      <c r="B748" s="248"/>
      <c r="C748" s="249"/>
    </row>
    <row r="749">
      <c r="B749" s="248"/>
      <c r="C749" s="249"/>
    </row>
    <row r="750">
      <c r="B750" s="248"/>
      <c r="C750" s="249"/>
    </row>
    <row r="751">
      <c r="B751" s="248"/>
      <c r="C751" s="249"/>
    </row>
    <row r="752">
      <c r="B752" s="248"/>
      <c r="C752" s="249"/>
    </row>
    <row r="753">
      <c r="B753" s="248"/>
      <c r="C753" s="249"/>
    </row>
    <row r="754">
      <c r="B754" s="248"/>
      <c r="C754" s="249"/>
    </row>
    <row r="755">
      <c r="B755" s="248"/>
      <c r="C755" s="249"/>
    </row>
    <row r="756">
      <c r="B756" s="248"/>
      <c r="C756" s="249"/>
    </row>
    <row r="757">
      <c r="B757" s="248"/>
      <c r="C757" s="249"/>
    </row>
    <row r="758">
      <c r="B758" s="248"/>
      <c r="C758" s="249"/>
    </row>
    <row r="759">
      <c r="B759" s="248"/>
      <c r="C759" s="249"/>
    </row>
    <row r="760">
      <c r="B760" s="248"/>
      <c r="C760" s="249"/>
    </row>
    <row r="761">
      <c r="B761" s="248"/>
      <c r="C761" s="249"/>
    </row>
    <row r="762">
      <c r="B762" s="248"/>
      <c r="C762" s="249"/>
    </row>
    <row r="763">
      <c r="B763" s="248"/>
      <c r="C763" s="249"/>
    </row>
    <row r="764">
      <c r="B764" s="248"/>
      <c r="C764" s="249"/>
    </row>
    <row r="765">
      <c r="B765" s="248"/>
      <c r="C765" s="249"/>
    </row>
    <row r="766">
      <c r="B766" s="248"/>
      <c r="C766" s="249"/>
    </row>
    <row r="767">
      <c r="B767" s="248"/>
      <c r="C767" s="249"/>
    </row>
    <row r="768">
      <c r="B768" s="248"/>
      <c r="C768" s="249"/>
    </row>
    <row r="769">
      <c r="B769" s="248"/>
      <c r="C769" s="249"/>
    </row>
    <row r="770">
      <c r="B770" s="248"/>
      <c r="C770" s="249"/>
    </row>
    <row r="771">
      <c r="B771" s="248"/>
      <c r="C771" s="249"/>
    </row>
    <row r="772">
      <c r="B772" s="248"/>
      <c r="C772" s="249"/>
    </row>
    <row r="773">
      <c r="B773" s="248"/>
      <c r="C773" s="249"/>
    </row>
    <row r="774">
      <c r="B774" s="248"/>
      <c r="C774" s="249"/>
    </row>
    <row r="775">
      <c r="B775" s="248"/>
      <c r="C775" s="249"/>
    </row>
    <row r="776">
      <c r="B776" s="248"/>
      <c r="C776" s="249"/>
    </row>
    <row r="777">
      <c r="B777" s="248"/>
      <c r="C777" s="249"/>
    </row>
    <row r="778">
      <c r="B778" s="248"/>
      <c r="C778" s="249"/>
    </row>
    <row r="779">
      <c r="B779" s="248"/>
      <c r="C779" s="249"/>
    </row>
    <row r="780">
      <c r="B780" s="248"/>
      <c r="C780" s="249"/>
    </row>
    <row r="781">
      <c r="B781" s="248"/>
      <c r="C781" s="249"/>
    </row>
    <row r="782">
      <c r="B782" s="248"/>
      <c r="C782" s="249"/>
    </row>
    <row r="783">
      <c r="B783" s="248"/>
      <c r="C783" s="249"/>
    </row>
    <row r="784">
      <c r="B784" s="248"/>
      <c r="C784" s="249"/>
    </row>
    <row r="785">
      <c r="B785" s="248"/>
      <c r="C785" s="249"/>
    </row>
    <row r="786">
      <c r="B786" s="248"/>
      <c r="C786" s="249"/>
    </row>
    <row r="787">
      <c r="B787" s="248"/>
      <c r="C787" s="249"/>
    </row>
    <row r="788">
      <c r="B788" s="248"/>
      <c r="C788" s="249"/>
    </row>
    <row r="789">
      <c r="B789" s="248"/>
      <c r="C789" s="249"/>
    </row>
    <row r="790">
      <c r="B790" s="248"/>
      <c r="C790" s="249"/>
    </row>
    <row r="791">
      <c r="B791" s="248"/>
      <c r="C791" s="249"/>
    </row>
    <row r="792">
      <c r="B792" s="248"/>
      <c r="C792" s="249"/>
    </row>
    <row r="793">
      <c r="B793" s="248"/>
      <c r="C793" s="249"/>
    </row>
    <row r="794">
      <c r="B794" s="248"/>
      <c r="C794" s="249"/>
    </row>
    <row r="795">
      <c r="B795" s="248"/>
      <c r="C795" s="249"/>
    </row>
    <row r="796">
      <c r="B796" s="248"/>
      <c r="C796" s="249"/>
    </row>
    <row r="797">
      <c r="B797" s="248"/>
      <c r="C797" s="249"/>
    </row>
    <row r="798">
      <c r="B798" s="248"/>
      <c r="C798" s="249"/>
    </row>
    <row r="799">
      <c r="B799" s="248"/>
      <c r="C799" s="249"/>
    </row>
    <row r="800">
      <c r="B800" s="248"/>
      <c r="C800" s="249"/>
    </row>
    <row r="801">
      <c r="B801" s="248"/>
      <c r="C801" s="249"/>
    </row>
    <row r="802">
      <c r="B802" s="248"/>
      <c r="C802" s="249"/>
    </row>
    <row r="803">
      <c r="B803" s="248"/>
      <c r="C803" s="249"/>
    </row>
    <row r="804">
      <c r="B804" s="248"/>
      <c r="C804" s="249"/>
    </row>
    <row r="805">
      <c r="B805" s="248"/>
      <c r="C805" s="249"/>
    </row>
    <row r="806">
      <c r="B806" s="248"/>
      <c r="C806" s="249"/>
    </row>
    <row r="807">
      <c r="B807" s="248"/>
      <c r="C807" s="249"/>
    </row>
    <row r="808">
      <c r="B808" s="248"/>
      <c r="C808" s="249"/>
    </row>
    <row r="809">
      <c r="B809" s="248"/>
      <c r="C809" s="249"/>
    </row>
    <row r="810">
      <c r="B810" s="248"/>
      <c r="C810" s="249"/>
    </row>
    <row r="811">
      <c r="B811" s="248"/>
      <c r="C811" s="249"/>
    </row>
    <row r="812">
      <c r="B812" s="248"/>
      <c r="C812" s="249"/>
    </row>
    <row r="813">
      <c r="B813" s="248"/>
      <c r="C813" s="249"/>
    </row>
    <row r="814">
      <c r="B814" s="248"/>
      <c r="C814" s="249"/>
    </row>
    <row r="815">
      <c r="B815" s="248"/>
      <c r="C815" s="249"/>
    </row>
    <row r="816">
      <c r="B816" s="248"/>
      <c r="C816" s="249"/>
    </row>
    <row r="817">
      <c r="B817" s="248"/>
      <c r="C817" s="249"/>
    </row>
    <row r="818">
      <c r="B818" s="248"/>
      <c r="C818" s="249"/>
    </row>
    <row r="819">
      <c r="B819" s="248"/>
      <c r="C819" s="249"/>
    </row>
    <row r="820">
      <c r="B820" s="248"/>
      <c r="C820" s="249"/>
    </row>
    <row r="821">
      <c r="B821" s="248"/>
      <c r="C821" s="249"/>
    </row>
    <row r="822">
      <c r="B822" s="248"/>
      <c r="C822" s="249"/>
    </row>
    <row r="823">
      <c r="B823" s="248"/>
      <c r="C823" s="249"/>
    </row>
    <row r="824">
      <c r="B824" s="248"/>
      <c r="C824" s="249"/>
    </row>
    <row r="825">
      <c r="B825" s="248"/>
      <c r="C825" s="249"/>
    </row>
    <row r="826">
      <c r="B826" s="248"/>
      <c r="C826" s="249"/>
    </row>
    <row r="827">
      <c r="B827" s="248"/>
      <c r="C827" s="249"/>
    </row>
    <row r="828">
      <c r="B828" s="248"/>
      <c r="C828" s="249"/>
    </row>
    <row r="829">
      <c r="B829" s="248"/>
      <c r="C829" s="249"/>
    </row>
    <row r="830">
      <c r="B830" s="248"/>
      <c r="C830" s="249"/>
    </row>
    <row r="831">
      <c r="B831" s="248"/>
      <c r="C831" s="249"/>
    </row>
    <row r="832">
      <c r="B832" s="248"/>
      <c r="C832" s="249"/>
    </row>
    <row r="833">
      <c r="B833" s="248"/>
      <c r="C833" s="249"/>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375</v>
      </c>
      <c r="B2" s="58" t="s">
        <v>353</v>
      </c>
      <c r="E2" s="58" t="s">
        <v>376</v>
      </c>
      <c r="F2" s="58" t="s">
        <v>353</v>
      </c>
    </row>
    <row r="3">
      <c r="A3" s="105" t="s">
        <v>377</v>
      </c>
      <c r="B3" s="105" t="s">
        <v>378</v>
      </c>
      <c r="C3" s="105" t="s">
        <v>379</v>
      </c>
      <c r="E3" s="105" t="s">
        <v>380</v>
      </c>
      <c r="F3" s="105" t="s">
        <v>378</v>
      </c>
      <c r="G3" s="105" t="s">
        <v>379</v>
      </c>
    </row>
    <row r="4">
      <c r="A4" s="105" t="s">
        <v>381</v>
      </c>
      <c r="B4" s="238"/>
      <c r="C4" s="238"/>
      <c r="E4" s="105" t="s">
        <v>382</v>
      </c>
      <c r="F4" s="238"/>
      <c r="G4" s="238"/>
    </row>
    <row r="5">
      <c r="A5" s="105" t="s">
        <v>383</v>
      </c>
      <c r="B5" s="238"/>
      <c r="C5" s="238"/>
      <c r="E5" s="105" t="s">
        <v>384</v>
      </c>
      <c r="F5" s="238"/>
      <c r="G5" s="238"/>
    </row>
    <row r="6">
      <c r="A6" s="105" t="s">
        <v>385</v>
      </c>
      <c r="B6" s="238"/>
      <c r="C6" s="238"/>
      <c r="E6" s="105" t="s">
        <v>386</v>
      </c>
      <c r="F6" s="238"/>
      <c r="G6" s="238"/>
    </row>
    <row r="7">
      <c r="A7" s="105" t="s">
        <v>387</v>
      </c>
      <c r="B7" s="238"/>
      <c r="C7" s="238"/>
      <c r="E7" s="105" t="s">
        <v>388</v>
      </c>
      <c r="F7" s="238"/>
      <c r="G7" s="238"/>
    </row>
    <row r="8">
      <c r="A8" s="105" t="s">
        <v>389</v>
      </c>
      <c r="B8" s="238"/>
      <c r="C8" s="238"/>
      <c r="E8" s="105" t="s">
        <v>390</v>
      </c>
      <c r="F8" s="238"/>
      <c r="G8" s="238"/>
    </row>
    <row r="9">
      <c r="A9" s="105" t="s">
        <v>391</v>
      </c>
      <c r="B9" s="238"/>
      <c r="C9" s="238"/>
      <c r="E9" s="105" t="s">
        <v>392</v>
      </c>
      <c r="F9" s="238"/>
      <c r="G9" s="238"/>
    </row>
    <row r="10">
      <c r="A10" s="105" t="s">
        <v>393</v>
      </c>
      <c r="B10" s="238"/>
      <c r="C10" s="238"/>
      <c r="E10" s="105" t="s">
        <v>394</v>
      </c>
      <c r="F10" s="238"/>
      <c r="G10" s="238"/>
    </row>
    <row r="11">
      <c r="A11" s="105" t="s">
        <v>395</v>
      </c>
      <c r="B11" s="238"/>
      <c r="C11" s="238"/>
      <c r="E11" s="105" t="s">
        <v>396</v>
      </c>
      <c r="F11" s="238"/>
      <c r="G11" s="238"/>
    </row>
    <row r="12">
      <c r="A12" s="105" t="s">
        <v>397</v>
      </c>
      <c r="B12" s="238"/>
      <c r="C12" s="238"/>
      <c r="E12" s="105" t="s">
        <v>398</v>
      </c>
      <c r="F12" s="238"/>
      <c r="G12" s="238"/>
    </row>
    <row r="13">
      <c r="A13" s="105" t="s">
        <v>399</v>
      </c>
      <c r="B13" s="238"/>
      <c r="C13" s="238"/>
      <c r="E13" s="105" t="s">
        <v>400</v>
      </c>
      <c r="F13" s="238"/>
      <c r="G13" s="238"/>
    </row>
    <row r="14">
      <c r="A14" s="105" t="s">
        <v>398</v>
      </c>
      <c r="B14" s="238"/>
      <c r="C14" s="238"/>
    </row>
    <row r="15">
      <c r="A15" s="105" t="s">
        <v>400</v>
      </c>
      <c r="B15" s="238"/>
      <c r="C15" s="238"/>
    </row>
    <row r="16">
      <c r="A16" s="238"/>
      <c r="B16" s="238"/>
      <c r="C16" s="238"/>
    </row>
    <row r="17">
      <c r="A17" s="238"/>
      <c r="B17" s="238"/>
      <c r="C17" s="238"/>
    </row>
    <row r="18">
      <c r="A18" s="238"/>
      <c r="B18" s="238"/>
      <c r="C18" s="2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401</v>
      </c>
      <c r="B2" s="58" t="s">
        <v>402</v>
      </c>
      <c r="D2" s="58" t="s">
        <v>403</v>
      </c>
    </row>
    <row r="3">
      <c r="A3" s="271" t="s">
        <v>404</v>
      </c>
      <c r="B3" s="238"/>
      <c r="E3" s="105" t="s">
        <v>40</v>
      </c>
      <c r="F3" s="105" t="s">
        <v>405</v>
      </c>
    </row>
    <row r="4">
      <c r="A4" s="271" t="s">
        <v>406</v>
      </c>
      <c r="B4" s="238"/>
      <c r="D4" s="105" t="s">
        <v>407</v>
      </c>
      <c r="E4" s="105"/>
      <c r="F4" s="238"/>
    </row>
    <row r="5">
      <c r="A5" s="271" t="s">
        <v>408</v>
      </c>
      <c r="B5" s="238"/>
      <c r="D5" s="105" t="s">
        <v>409</v>
      </c>
      <c r="E5" s="105"/>
      <c r="F5" s="238"/>
    </row>
    <row r="6">
      <c r="A6" s="271" t="s">
        <v>410</v>
      </c>
      <c r="B6" s="238"/>
      <c r="D6" s="105" t="s">
        <v>411</v>
      </c>
      <c r="E6" s="105"/>
      <c r="F6" s="238"/>
    </row>
    <row r="7">
      <c r="A7" s="271" t="s">
        <v>412</v>
      </c>
      <c r="B7" s="238"/>
    </row>
    <row r="8">
      <c r="A8" s="271" t="s">
        <v>413</v>
      </c>
      <c r="B8" s="238"/>
    </row>
    <row r="11">
      <c r="A11" s="58" t="s">
        <v>414</v>
      </c>
      <c r="E11" s="58" t="s">
        <v>415</v>
      </c>
    </row>
    <row r="12">
      <c r="A12" s="272"/>
      <c r="B12" s="272" t="s">
        <v>416</v>
      </c>
      <c r="C12" s="272" t="s">
        <v>417</v>
      </c>
      <c r="D12" s="272" t="s">
        <v>418</v>
      </c>
      <c r="E12" s="272" t="s">
        <v>419</v>
      </c>
      <c r="F12" s="273" t="s">
        <v>420</v>
      </c>
      <c r="G12" s="274" t="s">
        <v>421</v>
      </c>
      <c r="H12" s="275" t="s">
        <v>377</v>
      </c>
      <c r="I12" s="275" t="s">
        <v>380</v>
      </c>
      <c r="J12" s="276" t="s">
        <v>238</v>
      </c>
    </row>
    <row r="13">
      <c r="A13" s="105">
        <v>1.0</v>
      </c>
      <c r="B13" s="238"/>
      <c r="C13" s="238"/>
      <c r="D13" s="238"/>
      <c r="E13" s="238"/>
      <c r="F13" s="238"/>
      <c r="G13" s="238"/>
      <c r="H13" s="238"/>
      <c r="I13" s="238"/>
      <c r="J13" s="238"/>
    </row>
    <row r="14">
      <c r="A14" s="105">
        <v>2.0</v>
      </c>
      <c r="B14" s="238"/>
      <c r="C14" s="238"/>
      <c r="D14" s="238"/>
      <c r="E14" s="238"/>
      <c r="F14" s="238"/>
      <c r="G14" s="238"/>
      <c r="H14" s="238"/>
      <c r="I14" s="238"/>
      <c r="J14" s="238"/>
    </row>
    <row r="15">
      <c r="A15" s="105">
        <v>3.0</v>
      </c>
      <c r="B15" s="238"/>
      <c r="C15" s="238"/>
      <c r="D15" s="238"/>
      <c r="E15" s="238"/>
      <c r="F15" s="238"/>
      <c r="G15" s="238"/>
      <c r="H15" s="238"/>
      <c r="I15" s="238"/>
      <c r="J15" s="238"/>
    </row>
    <row r="16">
      <c r="A16" s="105">
        <v>4.0</v>
      </c>
      <c r="B16" s="238"/>
      <c r="C16" s="238"/>
      <c r="D16" s="238"/>
      <c r="E16" s="238"/>
      <c r="F16" s="238"/>
      <c r="G16" s="238"/>
      <c r="H16" s="238"/>
      <c r="I16" s="238"/>
      <c r="J16" s="238"/>
    </row>
    <row r="17">
      <c r="A17" s="105">
        <v>5.0</v>
      </c>
      <c r="B17" s="238"/>
      <c r="C17" s="238"/>
      <c r="D17" s="238"/>
      <c r="E17" s="238"/>
      <c r="F17" s="238"/>
      <c r="G17" s="238"/>
      <c r="H17" s="238"/>
      <c r="I17" s="238"/>
      <c r="J17" s="238"/>
    </row>
    <row r="18">
      <c r="A18" s="105">
        <v>6.0</v>
      </c>
      <c r="B18" s="238"/>
      <c r="C18" s="238"/>
      <c r="D18" s="238"/>
      <c r="E18" s="238"/>
      <c r="F18" s="238"/>
      <c r="G18" s="238"/>
      <c r="H18" s="238"/>
      <c r="I18" s="238"/>
      <c r="J18" s="238"/>
    </row>
    <row r="19">
      <c r="A19" s="105">
        <v>7.0</v>
      </c>
      <c r="B19" s="238"/>
      <c r="C19" s="238"/>
      <c r="D19" s="238"/>
      <c r="E19" s="238"/>
      <c r="F19" s="238"/>
      <c r="G19" s="238"/>
      <c r="H19" s="238"/>
      <c r="I19" s="238"/>
      <c r="J19" s="238"/>
    </row>
    <row r="20">
      <c r="A20" s="105">
        <v>8.0</v>
      </c>
      <c r="B20" s="238"/>
      <c r="C20" s="238"/>
      <c r="D20" s="238"/>
      <c r="E20" s="238"/>
      <c r="F20" s="238"/>
      <c r="G20" s="238"/>
      <c r="H20" s="238"/>
      <c r="I20" s="238"/>
      <c r="J20" s="238"/>
    </row>
    <row r="21">
      <c r="A21" s="105">
        <v>9.0</v>
      </c>
      <c r="B21" s="238"/>
      <c r="C21" s="238"/>
      <c r="D21" s="238"/>
      <c r="E21" s="238"/>
      <c r="F21" s="238"/>
      <c r="G21" s="238"/>
      <c r="H21" s="238"/>
      <c r="I21" s="238"/>
      <c r="J21" s="238"/>
    </row>
    <row r="22">
      <c r="A22" s="105">
        <v>10.0</v>
      </c>
      <c r="B22" s="238"/>
      <c r="C22" s="238"/>
      <c r="D22" s="238"/>
      <c r="E22" s="238"/>
      <c r="F22" s="238"/>
      <c r="G22" s="238"/>
      <c r="H22" s="238"/>
      <c r="I22" s="238"/>
      <c r="J22" s="238"/>
    </row>
    <row r="23">
      <c r="A23" s="105">
        <v>11.0</v>
      </c>
      <c r="B23" s="238"/>
      <c r="C23" s="238"/>
      <c r="D23" s="238"/>
      <c r="E23" s="238"/>
      <c r="F23" s="238"/>
      <c r="G23" s="238"/>
      <c r="H23" s="238"/>
      <c r="I23" s="238"/>
      <c r="J23" s="238"/>
    </row>
    <row r="24">
      <c r="A24" s="105">
        <v>12.0</v>
      </c>
      <c r="B24" s="238"/>
      <c r="C24" s="238"/>
      <c r="D24" s="238"/>
      <c r="E24" s="238"/>
      <c r="F24" s="238"/>
      <c r="G24" s="238"/>
      <c r="H24" s="238"/>
      <c r="I24" s="238"/>
      <c r="J24" s="238"/>
    </row>
    <row r="25">
      <c r="A25" s="105">
        <v>13.0</v>
      </c>
      <c r="B25" s="238"/>
      <c r="C25" s="238"/>
      <c r="D25" s="238"/>
      <c r="E25" s="238"/>
      <c r="F25" s="238"/>
      <c r="G25" s="238"/>
      <c r="H25" s="238"/>
      <c r="I25" s="238"/>
      <c r="J25" s="238"/>
    </row>
    <row r="26">
      <c r="A26" s="105">
        <v>14.0</v>
      </c>
      <c r="B26" s="238"/>
      <c r="C26" s="238"/>
      <c r="D26" s="238"/>
      <c r="E26" s="238"/>
      <c r="F26" s="238"/>
      <c r="G26" s="238"/>
      <c r="H26" s="238"/>
      <c r="I26" s="238"/>
      <c r="J26" s="238"/>
    </row>
    <row r="27">
      <c r="A27" s="105">
        <v>15.0</v>
      </c>
      <c r="B27" s="238"/>
      <c r="C27" s="238"/>
      <c r="D27" s="238"/>
      <c r="E27" s="238"/>
      <c r="F27" s="238"/>
      <c r="G27" s="238"/>
      <c r="H27" s="238"/>
      <c r="I27" s="238"/>
      <c r="J27" s="238"/>
    </row>
    <row r="28">
      <c r="A28" s="105">
        <v>16.0</v>
      </c>
      <c r="B28" s="238"/>
      <c r="C28" s="238"/>
      <c r="D28" s="238"/>
      <c r="E28" s="238"/>
      <c r="F28" s="238"/>
      <c r="G28" s="238"/>
      <c r="H28" s="238"/>
      <c r="I28" s="238"/>
      <c r="J28" s="238"/>
    </row>
    <row r="29">
      <c r="A29" s="105">
        <v>17.0</v>
      </c>
      <c r="B29" s="238"/>
      <c r="C29" s="238"/>
      <c r="D29" s="238"/>
      <c r="E29" s="238"/>
      <c r="F29" s="238"/>
      <c r="G29" s="238"/>
      <c r="H29" s="238"/>
      <c r="I29" s="238"/>
      <c r="J29" s="238"/>
    </row>
    <row r="30">
      <c r="A30" s="105">
        <v>18.0</v>
      </c>
      <c r="B30" s="238"/>
      <c r="C30" s="238"/>
      <c r="D30" s="238"/>
      <c r="E30" s="238"/>
      <c r="F30" s="238"/>
      <c r="G30" s="238"/>
      <c r="H30" s="238"/>
      <c r="I30" s="238"/>
      <c r="J30" s="238"/>
    </row>
    <row r="31">
      <c r="A31" s="105">
        <v>19.0</v>
      </c>
      <c r="B31" s="238"/>
      <c r="C31" s="238"/>
      <c r="D31" s="238"/>
      <c r="E31" s="238"/>
      <c r="F31" s="238"/>
      <c r="G31" s="238"/>
      <c r="H31" s="238"/>
      <c r="I31" s="238"/>
      <c r="J31" s="238"/>
    </row>
    <row r="32">
      <c r="A32" s="105">
        <v>20.0</v>
      </c>
      <c r="B32" s="238"/>
      <c r="C32" s="238"/>
      <c r="D32" s="238"/>
      <c r="E32" s="238"/>
      <c r="F32" s="238"/>
      <c r="G32" s="238"/>
      <c r="H32" s="238"/>
      <c r="I32" s="238"/>
      <c r="J32" s="238"/>
    </row>
    <row r="33">
      <c r="A33" s="105">
        <v>21.0</v>
      </c>
      <c r="B33" s="238"/>
      <c r="C33" s="238"/>
      <c r="D33" s="238"/>
      <c r="E33" s="238"/>
      <c r="F33" s="238"/>
      <c r="G33" s="238"/>
      <c r="H33" s="238"/>
      <c r="I33" s="238"/>
      <c r="J33" s="238"/>
    </row>
    <row r="34">
      <c r="A34" s="105">
        <v>22.0</v>
      </c>
      <c r="B34" s="238"/>
      <c r="C34" s="238"/>
      <c r="D34" s="238"/>
      <c r="E34" s="238"/>
      <c r="F34" s="238"/>
      <c r="G34" s="238"/>
      <c r="H34" s="238"/>
      <c r="I34" s="238"/>
      <c r="J34" s="238"/>
    </row>
    <row r="35">
      <c r="A35" s="105">
        <v>23.0</v>
      </c>
      <c r="B35" s="238"/>
      <c r="C35" s="238"/>
      <c r="D35" s="238"/>
      <c r="E35" s="238"/>
      <c r="F35" s="238"/>
      <c r="G35" s="238"/>
      <c r="H35" s="238"/>
      <c r="I35" s="238"/>
      <c r="J35" s="238"/>
    </row>
    <row r="36">
      <c r="A36" s="105">
        <v>24.0</v>
      </c>
      <c r="B36" s="238"/>
      <c r="C36" s="238"/>
      <c r="D36" s="238"/>
      <c r="E36" s="238"/>
      <c r="F36" s="238"/>
      <c r="G36" s="238"/>
      <c r="H36" s="238"/>
      <c r="I36" s="238"/>
      <c r="J36" s="238"/>
    </row>
    <row r="37">
      <c r="A37" s="105">
        <v>25.0</v>
      </c>
      <c r="B37" s="238"/>
      <c r="C37" s="238"/>
      <c r="D37" s="238"/>
      <c r="E37" s="238"/>
      <c r="F37" s="238"/>
      <c r="G37" s="238"/>
      <c r="H37" s="238"/>
      <c r="I37" s="238"/>
      <c r="J37" s="238"/>
    </row>
    <row r="38">
      <c r="A38" s="105">
        <v>26.0</v>
      </c>
      <c r="B38" s="238"/>
      <c r="C38" s="238"/>
      <c r="D38" s="238"/>
      <c r="E38" s="238"/>
      <c r="F38" s="238"/>
      <c r="G38" s="238"/>
      <c r="H38" s="238"/>
      <c r="I38" s="238"/>
      <c r="J38" s="23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77" t="s">
        <v>422</v>
      </c>
      <c r="B1" s="277" t="s">
        <v>423</v>
      </c>
      <c r="C1" s="277" t="s">
        <v>40</v>
      </c>
      <c r="D1" s="277" t="s">
        <v>424</v>
      </c>
      <c r="E1" s="277" t="s">
        <v>425</v>
      </c>
      <c r="F1" s="277" t="s">
        <v>426</v>
      </c>
      <c r="G1" s="277" t="s">
        <v>427</v>
      </c>
      <c r="H1" s="277" t="s">
        <v>428</v>
      </c>
      <c r="I1" s="277" t="s">
        <v>429</v>
      </c>
      <c r="J1" s="277" t="s">
        <v>405</v>
      </c>
      <c r="K1" s="277" t="s">
        <v>430</v>
      </c>
      <c r="L1" s="277" t="s">
        <v>431</v>
      </c>
      <c r="M1" s="277" t="s">
        <v>432</v>
      </c>
      <c r="N1" s="277" t="s">
        <v>433</v>
      </c>
    </row>
    <row r="2">
      <c r="A2" s="278" t="str">
        <f>HYPERLINK("https://beartail.atlassian.net/browse/KH-2812?atlOrigin=eyJpIjoiYzgwYTQ0ZjEyNzQzNGJhN2JmNjEyZTM0NmRhZWZhNjIiLCJwIjoic2hlZXRzLWppcmEifQ","KH-2812")</f>
        <v>KH-2812</v>
      </c>
      <c r="B2" s="277" t="s">
        <v>434</v>
      </c>
      <c r="C2" s="277" t="s">
        <v>435</v>
      </c>
      <c r="D2" s="279">
        <v>45195.670266203706</v>
      </c>
      <c r="E2" s="279">
        <v>45202.603368055556</v>
      </c>
      <c r="F2" s="277" t="s">
        <v>436</v>
      </c>
      <c r="G2" s="278" t="str">
        <f t="shared" ref="G2:G64" si="1">HYPERLINK("https://beartail.atlassian.net/browse/KH-2809?atlOrigin=eyJpIjoiYzgwYTQ0ZjEyNzQzNGJhN2JmNjEyZTM0NmRhZWZhNjIiLCJwIjoic2hlZXRzLWppcmEifQ","KH-2809")</f>
        <v>KH-2809</v>
      </c>
      <c r="H2" s="277" t="s">
        <v>437</v>
      </c>
      <c r="I2" s="277" t="s">
        <v>438</v>
      </c>
      <c r="J2" s="277" t="s">
        <v>438</v>
      </c>
      <c r="K2" s="277" t="s">
        <v>439</v>
      </c>
      <c r="L2" s="277" t="s">
        <v>440</v>
      </c>
      <c r="M2" s="277" t="s">
        <v>440</v>
      </c>
      <c r="N2" s="277" t="s">
        <v>440</v>
      </c>
    </row>
    <row r="3">
      <c r="A3" s="278" t="str">
        <f>HYPERLINK("https://beartail.atlassian.net/browse/KH-2813?atlOrigin=eyJpIjoiYzgwYTQ0ZjEyNzQzNGJhN2JmNjEyZTM0NmRhZWZhNjIiLCJwIjoic2hlZXRzLWppcmEifQ","KH-2813")</f>
        <v>KH-2813</v>
      </c>
      <c r="B3" s="277" t="s">
        <v>434</v>
      </c>
      <c r="C3" s="277" t="s">
        <v>435</v>
      </c>
      <c r="D3" s="279">
        <v>45195.67172453704</v>
      </c>
      <c r="E3" s="279">
        <v>45202.6033912037</v>
      </c>
      <c r="F3" s="277" t="s">
        <v>436</v>
      </c>
      <c r="G3" s="278" t="str">
        <f t="shared" si="1"/>
        <v>KH-2809</v>
      </c>
      <c r="H3" s="277" t="s">
        <v>437</v>
      </c>
      <c r="I3" s="277" t="s">
        <v>441</v>
      </c>
      <c r="J3" s="277" t="s">
        <v>441</v>
      </c>
      <c r="K3" s="277" t="s">
        <v>439</v>
      </c>
      <c r="L3" s="277" t="s">
        <v>440</v>
      </c>
      <c r="M3" s="277" t="s">
        <v>440</v>
      </c>
      <c r="N3" s="277" t="s">
        <v>440</v>
      </c>
    </row>
    <row r="4">
      <c r="A4" s="278" t="str">
        <f>HYPERLINK("https://beartail.atlassian.net/browse/KH-2859?atlOrigin=eyJpIjoiYzgwYTQ0ZjEyNzQzNGJhN2JmNjEyZTM0NmRhZWZhNjIiLCJwIjoic2hlZXRzLWppcmEifQ","KH-2859")</f>
        <v>KH-2859</v>
      </c>
      <c r="B4" s="277" t="s">
        <v>442</v>
      </c>
      <c r="C4" s="277" t="s">
        <v>435</v>
      </c>
      <c r="D4" s="279">
        <v>45202.66005787037</v>
      </c>
      <c r="E4" s="279">
        <v>45212.394108796296</v>
      </c>
      <c r="F4" s="277" t="s">
        <v>443</v>
      </c>
      <c r="G4" s="278" t="str">
        <f t="shared" si="1"/>
        <v>KH-2809</v>
      </c>
      <c r="H4" s="277" t="s">
        <v>437</v>
      </c>
      <c r="I4" s="277" t="s">
        <v>438</v>
      </c>
      <c r="J4" s="277" t="s">
        <v>441</v>
      </c>
      <c r="K4" s="277" t="s">
        <v>444</v>
      </c>
      <c r="L4" s="277" t="s">
        <v>440</v>
      </c>
      <c r="M4" s="277" t="s">
        <v>440</v>
      </c>
      <c r="N4" s="277" t="s">
        <v>440</v>
      </c>
    </row>
    <row r="5">
      <c r="A5" s="278" t="str">
        <f>HYPERLINK("https://beartail.atlassian.net/browse/KH-2862?atlOrigin=eyJpIjoiYzgwYTQ0ZjEyNzQzNGJhN2JmNjEyZTM0NmRhZWZhNjIiLCJwIjoic2hlZXRzLWppcmEifQ","KH-2862")</f>
        <v>KH-2862</v>
      </c>
      <c r="B5" s="277" t="s">
        <v>445</v>
      </c>
      <c r="C5" s="277" t="s">
        <v>435</v>
      </c>
      <c r="D5" s="279">
        <v>45202.661261574074</v>
      </c>
      <c r="E5" s="279">
        <v>45223.63253472222</v>
      </c>
      <c r="F5" s="277" t="s">
        <v>443</v>
      </c>
      <c r="G5" s="278" t="str">
        <f t="shared" si="1"/>
        <v>KH-2809</v>
      </c>
      <c r="H5" s="277" t="s">
        <v>437</v>
      </c>
      <c r="I5" s="277" t="s">
        <v>438</v>
      </c>
      <c r="J5" s="277" t="s">
        <v>438</v>
      </c>
      <c r="K5" s="277" t="s">
        <v>439</v>
      </c>
      <c r="L5" s="277" t="s">
        <v>440</v>
      </c>
      <c r="M5" s="277" t="s">
        <v>440</v>
      </c>
      <c r="N5" s="277" t="s">
        <v>440</v>
      </c>
    </row>
    <row r="6">
      <c r="A6" s="278" t="str">
        <f>HYPERLINK("https://beartail.atlassian.net/browse/KH-2864?atlOrigin=eyJpIjoiYzgwYTQ0ZjEyNzQzNGJhN2JmNjEyZTM0NmRhZWZhNjIiLCJwIjoic2hlZXRzLWppcmEifQ","KH-2864")</f>
        <v>KH-2864</v>
      </c>
      <c r="B6" s="277" t="s">
        <v>446</v>
      </c>
      <c r="C6" s="277" t="s">
        <v>435</v>
      </c>
      <c r="D6" s="279">
        <v>45202.66181712963</v>
      </c>
      <c r="E6" s="279">
        <v>45211.44217592593</v>
      </c>
      <c r="F6" s="277" t="s">
        <v>443</v>
      </c>
      <c r="G6" s="278" t="str">
        <f t="shared" si="1"/>
        <v>KH-2809</v>
      </c>
      <c r="H6" s="277" t="s">
        <v>437</v>
      </c>
      <c r="I6" s="277" t="s">
        <v>438</v>
      </c>
      <c r="J6" s="277" t="s">
        <v>438</v>
      </c>
      <c r="K6" s="277" t="s">
        <v>439</v>
      </c>
      <c r="L6" s="277" t="s">
        <v>440</v>
      </c>
      <c r="M6" s="277" t="s">
        <v>440</v>
      </c>
      <c r="N6" s="277" t="s">
        <v>440</v>
      </c>
    </row>
    <row r="7">
      <c r="A7" s="278" t="str">
        <f>HYPERLINK("https://beartail.atlassian.net/browse/KH-2902?atlOrigin=eyJpIjoiYzgwYTQ0ZjEyNzQzNGJhN2JmNjEyZTM0NmRhZWZhNjIiLCJwIjoic2hlZXRzLWppcmEifQ","KH-2902")</f>
        <v>KH-2902</v>
      </c>
      <c r="B7" s="277" t="s">
        <v>447</v>
      </c>
      <c r="C7" s="277" t="s">
        <v>435</v>
      </c>
      <c r="D7" s="279">
        <v>45210.73216435185</v>
      </c>
      <c r="E7" s="279">
        <v>45216.59994212963</v>
      </c>
      <c r="F7" s="277" t="s">
        <v>443</v>
      </c>
      <c r="G7" s="278" t="str">
        <f t="shared" si="1"/>
        <v>KH-2809</v>
      </c>
      <c r="H7" s="277" t="s">
        <v>437</v>
      </c>
      <c r="I7" s="277" t="s">
        <v>438</v>
      </c>
      <c r="J7" s="277" t="s">
        <v>438</v>
      </c>
      <c r="K7" s="277" t="s">
        <v>439</v>
      </c>
      <c r="L7" s="277" t="s">
        <v>440</v>
      </c>
      <c r="M7" s="277" t="s">
        <v>440</v>
      </c>
      <c r="N7" s="277" t="s">
        <v>440</v>
      </c>
    </row>
    <row r="8">
      <c r="A8" s="278" t="str">
        <f>HYPERLINK("https://beartail.atlassian.net/browse/KH-2903?atlOrigin=eyJpIjoiYzgwYTQ0ZjEyNzQzNGJhN2JmNjEyZTM0NmRhZWZhNjIiLCJwIjoic2hlZXRzLWppcmEifQ","KH-2903")</f>
        <v>KH-2903</v>
      </c>
      <c r="B8" s="277" t="s">
        <v>448</v>
      </c>
      <c r="C8" s="277" t="s">
        <v>435</v>
      </c>
      <c r="D8" s="279">
        <v>45210.73247685185</v>
      </c>
      <c r="E8" s="279">
        <v>45229.821493055555</v>
      </c>
      <c r="F8" s="277" t="s">
        <v>443</v>
      </c>
      <c r="G8" s="278" t="str">
        <f t="shared" si="1"/>
        <v>KH-2809</v>
      </c>
      <c r="H8" s="277" t="s">
        <v>437</v>
      </c>
      <c r="I8" s="277" t="s">
        <v>438</v>
      </c>
      <c r="J8" s="277" t="s">
        <v>441</v>
      </c>
      <c r="K8" s="277" t="s">
        <v>439</v>
      </c>
      <c r="L8" s="277" t="s">
        <v>440</v>
      </c>
      <c r="M8" s="277" t="s">
        <v>440</v>
      </c>
      <c r="N8" s="277" t="s">
        <v>440</v>
      </c>
    </row>
    <row r="9">
      <c r="A9" s="278" t="str">
        <f>HYPERLINK("https://beartail.atlassian.net/browse/KH-2905?atlOrigin=eyJpIjoiYzgwYTQ0ZjEyNzQzNGJhN2JmNjEyZTM0NmRhZWZhNjIiLCJwIjoic2hlZXRzLWppcmEifQ","KH-2905")</f>
        <v>KH-2905</v>
      </c>
      <c r="B9" s="277" t="s">
        <v>449</v>
      </c>
      <c r="C9" s="277" t="s">
        <v>435</v>
      </c>
      <c r="D9" s="279">
        <v>45210.73390046296</v>
      </c>
      <c r="E9" s="279">
        <v>45229.8215162037</v>
      </c>
      <c r="F9" s="277" t="s">
        <v>443</v>
      </c>
      <c r="G9" s="278" t="str">
        <f t="shared" si="1"/>
        <v>KH-2809</v>
      </c>
      <c r="H9" s="277" t="s">
        <v>437</v>
      </c>
      <c r="I9" s="277" t="s">
        <v>438</v>
      </c>
      <c r="J9" s="277" t="s">
        <v>441</v>
      </c>
      <c r="K9" s="277" t="s">
        <v>439</v>
      </c>
      <c r="L9" s="277" t="s">
        <v>440</v>
      </c>
      <c r="M9" s="277" t="s">
        <v>440</v>
      </c>
      <c r="N9" s="277" t="s">
        <v>440</v>
      </c>
    </row>
    <row r="10">
      <c r="A10" s="278" t="str">
        <f>HYPERLINK("https://beartail.atlassian.net/browse/KH-2897?atlOrigin=eyJpIjoiYzgwYTQ0ZjEyNzQzNGJhN2JmNjEyZTM0NmRhZWZhNjIiLCJwIjoic2hlZXRzLWppcmEifQ","KH-2897")</f>
        <v>KH-2897</v>
      </c>
      <c r="B10" s="277" t="s">
        <v>450</v>
      </c>
      <c r="C10" s="277" t="s">
        <v>435</v>
      </c>
      <c r="D10" s="279">
        <v>45210.728125</v>
      </c>
      <c r="E10" s="279">
        <v>45245.37278935185</v>
      </c>
      <c r="F10" s="277" t="s">
        <v>443</v>
      </c>
      <c r="G10" s="278" t="str">
        <f t="shared" si="1"/>
        <v>KH-2809</v>
      </c>
      <c r="H10" s="277" t="s">
        <v>437</v>
      </c>
      <c r="I10" s="277" t="s">
        <v>438</v>
      </c>
      <c r="J10" s="277" t="s">
        <v>438</v>
      </c>
      <c r="K10" s="277" t="s">
        <v>439</v>
      </c>
      <c r="L10" s="277" t="s">
        <v>440</v>
      </c>
      <c r="M10" s="277" t="s">
        <v>440</v>
      </c>
      <c r="N10" s="277" t="s">
        <v>440</v>
      </c>
    </row>
    <row r="11">
      <c r="A11" s="278" t="str">
        <f>HYPERLINK("https://beartail.atlassian.net/browse/KH-2906?atlOrigin=eyJpIjoiYzgwYTQ0ZjEyNzQzNGJhN2JmNjEyZTM0NmRhZWZhNjIiLCJwIjoic2hlZXRzLWppcmEifQ","KH-2906")</f>
        <v>KH-2906</v>
      </c>
      <c r="B11" s="277" t="s">
        <v>451</v>
      </c>
      <c r="C11" s="277" t="s">
        <v>435</v>
      </c>
      <c r="D11" s="279">
        <v>45210.734085648146</v>
      </c>
      <c r="E11" s="279">
        <v>45243.63416666666</v>
      </c>
      <c r="F11" s="277" t="s">
        <v>443</v>
      </c>
      <c r="G11" s="278" t="str">
        <f t="shared" si="1"/>
        <v>KH-2809</v>
      </c>
      <c r="H11" s="277" t="s">
        <v>437</v>
      </c>
      <c r="I11" s="277" t="s">
        <v>438</v>
      </c>
      <c r="J11" s="277" t="s">
        <v>441</v>
      </c>
      <c r="K11" s="277" t="s">
        <v>439</v>
      </c>
      <c r="L11" s="277" t="s">
        <v>440</v>
      </c>
      <c r="M11" s="277" t="s">
        <v>440</v>
      </c>
      <c r="N11" s="277" t="s">
        <v>440</v>
      </c>
    </row>
    <row r="12">
      <c r="A12" s="278" t="str">
        <f>HYPERLINK("https://beartail.atlassian.net/browse/KH-2898?atlOrigin=eyJpIjoiYzgwYTQ0ZjEyNzQzNGJhN2JmNjEyZTM0NmRhZWZhNjIiLCJwIjoic2hlZXRzLWppcmEifQ","KH-2898")</f>
        <v>KH-2898</v>
      </c>
      <c r="B12" s="277" t="s">
        <v>452</v>
      </c>
      <c r="C12" s="277" t="s">
        <v>435</v>
      </c>
      <c r="D12" s="279">
        <v>45210.72875</v>
      </c>
      <c r="E12" s="279">
        <v>45244.72675925926</v>
      </c>
      <c r="F12" s="277" t="s">
        <v>443</v>
      </c>
      <c r="G12" s="278" t="str">
        <f t="shared" si="1"/>
        <v>KH-2809</v>
      </c>
      <c r="H12" s="277" t="s">
        <v>437</v>
      </c>
      <c r="I12" s="277" t="s">
        <v>438</v>
      </c>
      <c r="J12" s="277" t="s">
        <v>438</v>
      </c>
      <c r="K12" s="277" t="s">
        <v>439</v>
      </c>
      <c r="L12" s="277" t="s">
        <v>440</v>
      </c>
      <c r="M12" s="277" t="s">
        <v>440</v>
      </c>
      <c r="N12" s="277" t="s">
        <v>440</v>
      </c>
    </row>
    <row r="13">
      <c r="A13" s="278" t="str">
        <f>HYPERLINK("https://beartail.atlassian.net/browse/KH-2900?atlOrigin=eyJpIjoiYzgwYTQ0ZjEyNzQzNGJhN2JmNjEyZTM0NmRhZWZhNjIiLCJwIjoic2hlZXRzLWppcmEifQ","KH-2900")</f>
        <v>KH-2900</v>
      </c>
      <c r="B13" s="277" t="s">
        <v>453</v>
      </c>
      <c r="C13" s="277" t="s">
        <v>435</v>
      </c>
      <c r="D13" s="279">
        <v>45210.72929398148</v>
      </c>
      <c r="E13" s="279">
        <v>45245.372083333335</v>
      </c>
      <c r="F13" s="277" t="s">
        <v>443</v>
      </c>
      <c r="G13" s="278" t="str">
        <f t="shared" si="1"/>
        <v>KH-2809</v>
      </c>
      <c r="H13" s="277" t="s">
        <v>437</v>
      </c>
      <c r="I13" s="277" t="s">
        <v>438</v>
      </c>
      <c r="J13" s="277" t="s">
        <v>441</v>
      </c>
      <c r="K13" s="277" t="s">
        <v>439</v>
      </c>
      <c r="L13" s="277" t="s">
        <v>440</v>
      </c>
      <c r="M13" s="277" t="s">
        <v>440</v>
      </c>
      <c r="N13" s="277" t="s">
        <v>440</v>
      </c>
    </row>
    <row r="14">
      <c r="A14" s="278" t="str">
        <f>HYPERLINK("https://beartail.atlassian.net/browse/KH-2899?atlOrigin=eyJpIjoiYzgwYTQ0ZjEyNzQzNGJhN2JmNjEyZTM0NmRhZWZhNjIiLCJwIjoic2hlZXRzLWppcmEifQ","KH-2899")</f>
        <v>KH-2899</v>
      </c>
      <c r="B14" s="277" t="s">
        <v>454</v>
      </c>
      <c r="C14" s="277" t="s">
        <v>435</v>
      </c>
      <c r="D14" s="279">
        <v>45210.729050925926</v>
      </c>
      <c r="E14" s="279">
        <v>45245.37233796297</v>
      </c>
      <c r="F14" s="277" t="s">
        <v>443</v>
      </c>
      <c r="G14" s="278" t="str">
        <f t="shared" si="1"/>
        <v>KH-2809</v>
      </c>
      <c r="H14" s="277" t="s">
        <v>437</v>
      </c>
      <c r="I14" s="277" t="s">
        <v>438</v>
      </c>
      <c r="J14" s="277" t="s">
        <v>441</v>
      </c>
      <c r="K14" s="277" t="s">
        <v>439</v>
      </c>
      <c r="L14" s="277" t="s">
        <v>440</v>
      </c>
      <c r="M14" s="277" t="s">
        <v>440</v>
      </c>
      <c r="N14" s="277" t="s">
        <v>440</v>
      </c>
    </row>
    <row r="15">
      <c r="A15" s="278" t="str">
        <f>HYPERLINK("https://beartail.atlassian.net/browse/KH-2901?atlOrigin=eyJpIjoiYzgwYTQ0ZjEyNzQzNGJhN2JmNjEyZTM0NmRhZWZhNjIiLCJwIjoic2hlZXRzLWppcmEifQ","KH-2901")</f>
        <v>KH-2901</v>
      </c>
      <c r="B15" s="277" t="s">
        <v>455</v>
      </c>
      <c r="C15" s="277" t="s">
        <v>435</v>
      </c>
      <c r="D15" s="279">
        <v>45210.729583333334</v>
      </c>
      <c r="E15" s="279">
        <v>45245.373020833336</v>
      </c>
      <c r="F15" s="277" t="s">
        <v>443</v>
      </c>
      <c r="G15" s="278" t="str">
        <f t="shared" si="1"/>
        <v>KH-2809</v>
      </c>
      <c r="H15" s="277" t="s">
        <v>437</v>
      </c>
      <c r="I15" s="277" t="s">
        <v>438</v>
      </c>
      <c r="J15" s="277" t="s">
        <v>441</v>
      </c>
      <c r="K15" s="277" t="s">
        <v>439</v>
      </c>
      <c r="L15" s="277" t="s">
        <v>440</v>
      </c>
      <c r="M15" s="277" t="s">
        <v>440</v>
      </c>
      <c r="N15" s="277" t="s">
        <v>440</v>
      </c>
    </row>
    <row r="16">
      <c r="A16" s="278" t="str">
        <f>HYPERLINK("https://beartail.atlassian.net/browse/KH-3039?atlOrigin=eyJpIjoiYzgwYTQ0ZjEyNzQzNGJhN2JmNjEyZTM0NmRhZWZhNjIiLCJwIjoic2hlZXRzLWppcmEifQ","KH-3039")</f>
        <v>KH-3039</v>
      </c>
      <c r="B16" s="277" t="s">
        <v>456</v>
      </c>
      <c r="C16" s="277" t="s">
        <v>435</v>
      </c>
      <c r="D16" s="279">
        <v>45237.67201388889</v>
      </c>
      <c r="E16" s="279">
        <v>45245.39519675926</v>
      </c>
      <c r="F16" s="277" t="s">
        <v>443</v>
      </c>
      <c r="G16" s="278" t="str">
        <f t="shared" si="1"/>
        <v>KH-2809</v>
      </c>
      <c r="H16" s="277" t="s">
        <v>437</v>
      </c>
      <c r="I16" s="277" t="s">
        <v>438</v>
      </c>
      <c r="J16" s="277" t="s">
        <v>441</v>
      </c>
      <c r="K16" s="277" t="s">
        <v>439</v>
      </c>
      <c r="L16" s="277" t="s">
        <v>440</v>
      </c>
      <c r="M16" s="277" t="s">
        <v>440</v>
      </c>
      <c r="N16" s="277" t="s">
        <v>440</v>
      </c>
    </row>
    <row r="17">
      <c r="A17" s="278" t="str">
        <f>HYPERLINK("https://beartail.atlassian.net/browse/KH-3041?atlOrigin=eyJpIjoiYzgwYTQ0ZjEyNzQzNGJhN2JmNjEyZTM0NmRhZWZhNjIiLCJwIjoic2hlZXRzLWppcmEifQ","KH-3041")</f>
        <v>KH-3041</v>
      </c>
      <c r="B17" s="277" t="s">
        <v>457</v>
      </c>
      <c r="C17" s="277" t="s">
        <v>435</v>
      </c>
      <c r="D17" s="279">
        <v>45237.67229166667</v>
      </c>
      <c r="E17" s="279">
        <v>45252.571388888886</v>
      </c>
      <c r="F17" s="277" t="s">
        <v>443</v>
      </c>
      <c r="G17" s="278" t="str">
        <f t="shared" si="1"/>
        <v>KH-2809</v>
      </c>
      <c r="H17" s="277" t="s">
        <v>437</v>
      </c>
      <c r="I17" s="277" t="s">
        <v>438</v>
      </c>
      <c r="J17" s="277" t="s">
        <v>438</v>
      </c>
      <c r="K17" s="277" t="s">
        <v>439</v>
      </c>
      <c r="L17" s="277" t="s">
        <v>440</v>
      </c>
      <c r="M17" s="277" t="s">
        <v>440</v>
      </c>
      <c r="N17" s="277" t="s">
        <v>440</v>
      </c>
    </row>
    <row r="18">
      <c r="A18" s="278" t="str">
        <f>HYPERLINK("https://beartail.atlassian.net/browse/KH-3089?atlOrigin=eyJpIjoiYzgwYTQ0ZjEyNzQzNGJhN2JmNjEyZTM0NmRhZWZhNjIiLCJwIjoic2hlZXRzLWppcmEifQ","KH-3089")</f>
        <v>KH-3089</v>
      </c>
      <c r="B18" s="277" t="s">
        <v>458</v>
      </c>
      <c r="C18" s="277" t="s">
        <v>435</v>
      </c>
      <c r="D18" s="279">
        <v>45244.66341435185</v>
      </c>
      <c r="E18" s="279">
        <v>45252.844513888886</v>
      </c>
      <c r="F18" s="277" t="s">
        <v>443</v>
      </c>
      <c r="G18" s="278" t="str">
        <f t="shared" si="1"/>
        <v>KH-2809</v>
      </c>
      <c r="H18" s="277" t="s">
        <v>437</v>
      </c>
      <c r="I18" s="277" t="s">
        <v>441</v>
      </c>
      <c r="J18" s="277" t="s">
        <v>438</v>
      </c>
      <c r="K18" s="277" t="s">
        <v>439</v>
      </c>
      <c r="L18" s="277" t="s">
        <v>440</v>
      </c>
      <c r="M18" s="277" t="s">
        <v>440</v>
      </c>
      <c r="N18" s="277" t="s">
        <v>440</v>
      </c>
    </row>
    <row r="19">
      <c r="A19" s="278" t="str">
        <f>HYPERLINK("https://beartail.atlassian.net/browse/KH-3120?atlOrigin=eyJpIjoiYzgwYTQ0ZjEyNzQzNGJhN2JmNjEyZTM0NmRhZWZhNjIiLCJwIjoic2hlZXRzLWppcmEifQ","KH-3120")</f>
        <v>KH-3120</v>
      </c>
      <c r="B19" s="277" t="s">
        <v>459</v>
      </c>
      <c r="C19" s="277" t="s">
        <v>435</v>
      </c>
      <c r="D19" s="279">
        <v>45251.647523148145</v>
      </c>
      <c r="E19" s="279">
        <v>45257.41798611111</v>
      </c>
      <c r="F19" s="277" t="s">
        <v>443</v>
      </c>
      <c r="G19" s="278" t="str">
        <f t="shared" si="1"/>
        <v>KH-2809</v>
      </c>
      <c r="H19" s="277" t="s">
        <v>437</v>
      </c>
      <c r="I19" s="277" t="s">
        <v>438</v>
      </c>
      <c r="J19" s="277" t="s">
        <v>438</v>
      </c>
      <c r="K19" s="277" t="s">
        <v>439</v>
      </c>
      <c r="L19" s="277" t="s">
        <v>440</v>
      </c>
      <c r="M19" s="277" t="s">
        <v>440</v>
      </c>
      <c r="N19" s="277" t="s">
        <v>440</v>
      </c>
    </row>
    <row r="20">
      <c r="A20" s="278" t="str">
        <f>HYPERLINK("https://beartail.atlassian.net/browse/KH-3126?atlOrigin=eyJpIjoiYzgwYTQ0ZjEyNzQzNGJhN2JmNjEyZTM0NmRhZWZhNjIiLCJwIjoic2hlZXRzLWppcmEifQ","KH-3126")</f>
        <v>KH-3126</v>
      </c>
      <c r="B20" s="277" t="s">
        <v>460</v>
      </c>
      <c r="C20" s="277" t="s">
        <v>435</v>
      </c>
      <c r="D20" s="279">
        <v>45251.70087962963</v>
      </c>
      <c r="E20" s="279">
        <v>45261.51956018519</v>
      </c>
      <c r="F20" s="277" t="s">
        <v>443</v>
      </c>
      <c r="G20" s="278" t="str">
        <f t="shared" si="1"/>
        <v>KH-2809</v>
      </c>
      <c r="H20" s="277" t="s">
        <v>437</v>
      </c>
      <c r="I20" s="277" t="s">
        <v>438</v>
      </c>
      <c r="J20" s="277" t="s">
        <v>438</v>
      </c>
      <c r="K20" s="277" t="s">
        <v>439</v>
      </c>
      <c r="L20" s="277" t="s">
        <v>440</v>
      </c>
      <c r="M20" s="277" t="s">
        <v>440</v>
      </c>
      <c r="N20" s="277" t="s">
        <v>440</v>
      </c>
    </row>
    <row r="21">
      <c r="A21" s="278" t="str">
        <f>HYPERLINK("https://beartail.atlassian.net/browse/KH-3125?atlOrigin=eyJpIjoiYzgwYTQ0ZjEyNzQzNGJhN2JmNjEyZTM0NmRhZWZhNjIiLCJwIjoic2hlZXRzLWppcmEifQ","KH-3125")</f>
        <v>KH-3125</v>
      </c>
      <c r="B21" s="277" t="s">
        <v>461</v>
      </c>
      <c r="C21" s="277" t="s">
        <v>435</v>
      </c>
      <c r="D21" s="279">
        <v>45251.698171296295</v>
      </c>
      <c r="E21" s="279">
        <v>45261.48365740741</v>
      </c>
      <c r="F21" s="277" t="s">
        <v>462</v>
      </c>
      <c r="G21" s="278" t="str">
        <f t="shared" si="1"/>
        <v>KH-2809</v>
      </c>
      <c r="H21" s="277" t="s">
        <v>437</v>
      </c>
      <c r="I21" s="277" t="s">
        <v>463</v>
      </c>
      <c r="J21" s="277" t="s">
        <v>438</v>
      </c>
      <c r="K21" s="277" t="s">
        <v>439</v>
      </c>
      <c r="L21" s="277" t="s">
        <v>440</v>
      </c>
      <c r="M21" s="277" t="s">
        <v>440</v>
      </c>
      <c r="N21" s="277" t="s">
        <v>440</v>
      </c>
    </row>
    <row r="22">
      <c r="A22" s="278" t="str">
        <f>HYPERLINK("https://beartail.atlassian.net/browse/KH-3127?atlOrigin=eyJpIjoiYzgwYTQ0ZjEyNzQzNGJhN2JmNjEyZTM0NmRhZWZhNjIiLCJwIjoic2hlZXRzLWppcmEifQ","KH-3127")</f>
        <v>KH-3127</v>
      </c>
      <c r="B22" s="277" t="s">
        <v>464</v>
      </c>
      <c r="C22" s="277" t="s">
        <v>435</v>
      </c>
      <c r="D22" s="279">
        <v>45251.70431712963</v>
      </c>
      <c r="E22" s="279">
        <v>45261.44537037037</v>
      </c>
      <c r="F22" s="277" t="s">
        <v>462</v>
      </c>
      <c r="G22" s="278" t="str">
        <f t="shared" si="1"/>
        <v>KH-2809</v>
      </c>
      <c r="H22" s="277" t="s">
        <v>437</v>
      </c>
      <c r="I22" s="277" t="s">
        <v>463</v>
      </c>
      <c r="J22" s="277" t="s">
        <v>438</v>
      </c>
      <c r="K22" s="277" t="s">
        <v>439</v>
      </c>
      <c r="L22" s="277" t="s">
        <v>440</v>
      </c>
      <c r="M22" s="277" t="s">
        <v>440</v>
      </c>
      <c r="N22" s="277" t="s">
        <v>440</v>
      </c>
    </row>
    <row r="23">
      <c r="A23" s="278" t="str">
        <f>HYPERLINK("https://beartail.atlassian.net/browse/KH-3129?atlOrigin=eyJpIjoiYzgwYTQ0ZjEyNzQzNGJhN2JmNjEyZTM0NmRhZWZhNjIiLCJwIjoic2hlZXRzLWppcmEifQ","KH-3129")</f>
        <v>KH-3129</v>
      </c>
      <c r="B23" s="277" t="s">
        <v>465</v>
      </c>
      <c r="C23" s="277" t="s">
        <v>435</v>
      </c>
      <c r="D23" s="279">
        <v>45252.57732638889</v>
      </c>
      <c r="E23" s="279">
        <v>45272.70649305556</v>
      </c>
      <c r="F23" s="277" t="s">
        <v>443</v>
      </c>
      <c r="G23" s="278" t="str">
        <f t="shared" si="1"/>
        <v>KH-2809</v>
      </c>
      <c r="H23" s="277" t="s">
        <v>437</v>
      </c>
      <c r="I23" s="277" t="s">
        <v>438</v>
      </c>
      <c r="J23" s="277" t="s">
        <v>438</v>
      </c>
      <c r="K23" s="277" t="s">
        <v>439</v>
      </c>
      <c r="L23" s="277" t="s">
        <v>440</v>
      </c>
      <c r="M23" s="277" t="s">
        <v>440</v>
      </c>
      <c r="N23" s="277" t="s">
        <v>440</v>
      </c>
    </row>
    <row r="24">
      <c r="A24" s="278" t="str">
        <f>HYPERLINK("https://beartail.atlassian.net/browse/KH-3149?atlOrigin=eyJpIjoiYzgwYTQ0ZjEyNzQzNGJhN2JmNjEyZTM0NmRhZWZhNjIiLCJwIjoic2hlZXRzLWppcmEifQ","KH-3149")</f>
        <v>KH-3149</v>
      </c>
      <c r="B24" s="277" t="s">
        <v>466</v>
      </c>
      <c r="C24" s="277" t="s">
        <v>435</v>
      </c>
      <c r="D24" s="279">
        <v>45257.65085648148</v>
      </c>
      <c r="E24" s="279">
        <v>45271.6009837963</v>
      </c>
      <c r="F24" s="277" t="s">
        <v>462</v>
      </c>
      <c r="G24" s="278" t="str">
        <f t="shared" si="1"/>
        <v>KH-2809</v>
      </c>
      <c r="H24" s="277" t="s">
        <v>437</v>
      </c>
      <c r="I24" s="277" t="s">
        <v>463</v>
      </c>
      <c r="J24" s="277" t="s">
        <v>438</v>
      </c>
      <c r="K24" s="277" t="s">
        <v>439</v>
      </c>
      <c r="L24" s="277" t="s">
        <v>440</v>
      </c>
      <c r="M24" s="277" t="s">
        <v>440</v>
      </c>
      <c r="N24" s="277" t="s">
        <v>440</v>
      </c>
    </row>
    <row r="25">
      <c r="A25" s="278" t="str">
        <f>HYPERLINK("https://beartail.atlassian.net/browse/KH-3150?atlOrigin=eyJpIjoiYzgwYTQ0ZjEyNzQzNGJhN2JmNjEyZTM0NmRhZWZhNjIiLCJwIjoic2hlZXRzLWppcmEifQ","KH-3150")</f>
        <v>KH-3150</v>
      </c>
      <c r="B25" s="277" t="s">
        <v>467</v>
      </c>
      <c r="C25" s="277" t="s">
        <v>435</v>
      </c>
      <c r="D25" s="279">
        <v>45257.72142361111</v>
      </c>
      <c r="E25" s="279">
        <v>45268.736354166664</v>
      </c>
      <c r="F25" s="277" t="s">
        <v>462</v>
      </c>
      <c r="G25" s="278" t="str">
        <f t="shared" si="1"/>
        <v>KH-2809</v>
      </c>
      <c r="H25" s="277" t="s">
        <v>437</v>
      </c>
      <c r="I25" s="277" t="s">
        <v>463</v>
      </c>
      <c r="J25" s="277" t="s">
        <v>438</v>
      </c>
      <c r="K25" s="277" t="s">
        <v>439</v>
      </c>
      <c r="L25" s="277" t="s">
        <v>440</v>
      </c>
      <c r="M25" s="277" t="s">
        <v>440</v>
      </c>
      <c r="N25" s="277" t="s">
        <v>440</v>
      </c>
    </row>
    <row r="26">
      <c r="A26" s="278" t="str">
        <f>HYPERLINK("https://beartail.atlassian.net/browse/KH-3228?atlOrigin=eyJpIjoiYzgwYTQ0ZjEyNzQzNGJhN2JmNjEyZTM0NmRhZWZhNjIiLCJwIjoic2hlZXRzLWppcmEifQ","KH-3228")</f>
        <v>KH-3228</v>
      </c>
      <c r="B26" s="277" t="s">
        <v>468</v>
      </c>
      <c r="C26" s="277" t="s">
        <v>435</v>
      </c>
      <c r="D26" s="279">
        <v>45271.645625</v>
      </c>
      <c r="E26" s="279">
        <v>45279.74005787037</v>
      </c>
      <c r="F26" s="277" t="s">
        <v>462</v>
      </c>
      <c r="G26" s="278" t="str">
        <f t="shared" si="1"/>
        <v>KH-2809</v>
      </c>
      <c r="H26" s="277" t="s">
        <v>437</v>
      </c>
      <c r="I26" s="277" t="s">
        <v>463</v>
      </c>
      <c r="J26" s="277" t="s">
        <v>438</v>
      </c>
      <c r="K26" s="277" t="s">
        <v>439</v>
      </c>
      <c r="L26" s="277" t="s">
        <v>440</v>
      </c>
      <c r="M26" s="277" t="s">
        <v>440</v>
      </c>
      <c r="N26" s="277" t="s">
        <v>440</v>
      </c>
    </row>
    <row r="27">
      <c r="A27" s="278" t="str">
        <f>HYPERLINK("https://beartail.atlassian.net/browse/KH-3234?atlOrigin=eyJpIjoiYzgwYTQ0ZjEyNzQzNGJhN2JmNjEyZTM0NmRhZWZhNjIiLCJwIjoic2hlZXRzLWppcmEifQ","KH-3234")</f>
        <v>KH-3234</v>
      </c>
      <c r="B27" s="277" t="s">
        <v>469</v>
      </c>
      <c r="C27" s="277" t="s">
        <v>435</v>
      </c>
      <c r="D27" s="279">
        <v>45272.61515046296</v>
      </c>
      <c r="E27" s="279">
        <v>45287.06103009259</v>
      </c>
      <c r="F27" s="277" t="s">
        <v>443</v>
      </c>
      <c r="G27" s="278" t="str">
        <f t="shared" si="1"/>
        <v>KH-2809</v>
      </c>
      <c r="H27" s="277" t="s">
        <v>437</v>
      </c>
      <c r="I27" s="277" t="s">
        <v>438</v>
      </c>
      <c r="J27" s="277" t="s">
        <v>438</v>
      </c>
      <c r="K27" s="277" t="s">
        <v>439</v>
      </c>
      <c r="L27" s="277" t="s">
        <v>440</v>
      </c>
      <c r="M27" s="277" t="s">
        <v>440</v>
      </c>
      <c r="N27" s="277" t="s">
        <v>440</v>
      </c>
    </row>
    <row r="28">
      <c r="A28" s="278" t="str">
        <f>HYPERLINK("https://beartail.atlassian.net/browse/KH-3226?atlOrigin=eyJpIjoiYzgwYTQ0ZjEyNzQzNGJhN2JmNjEyZTM0NmRhZWZhNjIiLCJwIjoic2hlZXRzLWppcmEifQ","KH-3226")</f>
        <v>KH-3226</v>
      </c>
      <c r="B28" s="277" t="s">
        <v>470</v>
      </c>
      <c r="C28" s="277" t="s">
        <v>435</v>
      </c>
      <c r="D28" s="279">
        <v>45271.61204861111</v>
      </c>
      <c r="E28" s="279">
        <v>45272.65010416666</v>
      </c>
      <c r="F28" s="277" t="s">
        <v>462</v>
      </c>
      <c r="G28" s="278" t="str">
        <f t="shared" si="1"/>
        <v>KH-2809</v>
      </c>
      <c r="H28" s="277" t="s">
        <v>437</v>
      </c>
      <c r="I28" s="277" t="s">
        <v>463</v>
      </c>
      <c r="J28" s="277" t="s">
        <v>438</v>
      </c>
      <c r="K28" s="277" t="s">
        <v>439</v>
      </c>
      <c r="L28" s="277" t="s">
        <v>440</v>
      </c>
      <c r="M28" s="277" t="s">
        <v>440</v>
      </c>
      <c r="N28" s="277" t="s">
        <v>440</v>
      </c>
    </row>
    <row r="29">
      <c r="A29" s="278" t="str">
        <f>HYPERLINK("https://beartail.atlassian.net/browse/KH-3284?atlOrigin=eyJpIjoiYzgwYTQ0ZjEyNzQzNGJhN2JmNjEyZTM0NmRhZWZhNjIiLCJwIjoic2hlZXRzLWppcmEifQ","KH-3284")</f>
        <v>KH-3284</v>
      </c>
      <c r="B29" s="277" t="s">
        <v>471</v>
      </c>
      <c r="C29" s="277" t="s">
        <v>435</v>
      </c>
      <c r="D29" s="279">
        <v>45279.64517361111</v>
      </c>
      <c r="E29" s="279">
        <v>45286.61791666667</v>
      </c>
      <c r="F29" s="277" t="s">
        <v>443</v>
      </c>
      <c r="G29" s="278" t="str">
        <f t="shared" si="1"/>
        <v>KH-2809</v>
      </c>
      <c r="H29" s="277" t="s">
        <v>437</v>
      </c>
      <c r="I29" s="277" t="s">
        <v>438</v>
      </c>
      <c r="J29" s="277" t="s">
        <v>438</v>
      </c>
      <c r="K29" s="277" t="s">
        <v>439</v>
      </c>
      <c r="L29" s="277" t="s">
        <v>440</v>
      </c>
      <c r="M29" s="277" t="s">
        <v>440</v>
      </c>
      <c r="N29" s="277" t="s">
        <v>440</v>
      </c>
    </row>
    <row r="30">
      <c r="A30" s="278" t="str">
        <f>HYPERLINK("https://beartail.atlassian.net/browse/KH-3227?atlOrigin=eyJpIjoiYzgwYTQ0ZjEyNzQzNGJhN2JmNjEyZTM0NmRhZWZhNjIiLCJwIjoic2hlZXRzLWppcmEifQ","KH-3227")</f>
        <v>KH-3227</v>
      </c>
      <c r="B30" s="277" t="s">
        <v>472</v>
      </c>
      <c r="C30" s="277" t="s">
        <v>435</v>
      </c>
      <c r="D30" s="279">
        <v>45271.626435185186</v>
      </c>
      <c r="E30" s="279">
        <v>45272.529710648145</v>
      </c>
      <c r="F30" s="277" t="s">
        <v>462</v>
      </c>
      <c r="G30" s="278" t="str">
        <f t="shared" si="1"/>
        <v>KH-2809</v>
      </c>
      <c r="H30" s="277" t="s">
        <v>437</v>
      </c>
      <c r="I30" s="277" t="s">
        <v>463</v>
      </c>
      <c r="J30" s="277" t="s">
        <v>440</v>
      </c>
      <c r="K30" s="277" t="s">
        <v>439</v>
      </c>
      <c r="L30" s="277" t="s">
        <v>440</v>
      </c>
      <c r="M30" s="277" t="s">
        <v>440</v>
      </c>
      <c r="N30" s="277" t="s">
        <v>440</v>
      </c>
    </row>
    <row r="31">
      <c r="A31" s="278" t="str">
        <f>HYPERLINK("https://beartail.atlassian.net/browse/KH-3313?atlOrigin=eyJpIjoiYzgwYTQ0ZjEyNzQzNGJhN2JmNjEyZTM0NmRhZWZhNjIiLCJwIjoic2hlZXRzLWppcmEifQ","KH-3313")</f>
        <v>KH-3313</v>
      </c>
      <c r="B31" s="277" t="s">
        <v>473</v>
      </c>
      <c r="C31" s="277" t="s">
        <v>435</v>
      </c>
      <c r="D31" s="279">
        <v>45286.62383101852</v>
      </c>
      <c r="E31" s="279">
        <v>45301.74048611111</v>
      </c>
      <c r="F31" s="277" t="s">
        <v>443</v>
      </c>
      <c r="G31" s="278" t="str">
        <f t="shared" si="1"/>
        <v>KH-2809</v>
      </c>
      <c r="H31" s="277" t="s">
        <v>437</v>
      </c>
      <c r="I31" s="277" t="s">
        <v>438</v>
      </c>
      <c r="J31" s="277" t="s">
        <v>438</v>
      </c>
      <c r="K31" s="277" t="s">
        <v>439</v>
      </c>
      <c r="L31" s="277" t="s">
        <v>440</v>
      </c>
      <c r="M31" s="277" t="s">
        <v>440</v>
      </c>
      <c r="N31" s="277" t="s">
        <v>440</v>
      </c>
    </row>
    <row r="32">
      <c r="A32" s="278" t="str">
        <f>HYPERLINK("https://beartail.atlassian.net/browse/KH-3317?atlOrigin=eyJpIjoiYzgwYTQ0ZjEyNzQzNGJhN2JmNjEyZTM0NmRhZWZhNjIiLCJwIjoic2hlZXRzLWppcmEifQ","KH-3317")</f>
        <v>KH-3317</v>
      </c>
      <c r="B32" s="277" t="s">
        <v>474</v>
      </c>
      <c r="C32" s="277" t="s">
        <v>435</v>
      </c>
      <c r="D32" s="279">
        <v>45286.64059027778</v>
      </c>
      <c r="E32" s="279">
        <v>45301.74054398148</v>
      </c>
      <c r="F32" s="277" t="s">
        <v>443</v>
      </c>
      <c r="G32" s="278" t="str">
        <f t="shared" si="1"/>
        <v>KH-2809</v>
      </c>
      <c r="H32" s="277" t="s">
        <v>437</v>
      </c>
      <c r="I32" s="277" t="s">
        <v>438</v>
      </c>
      <c r="J32" s="277" t="s">
        <v>438</v>
      </c>
      <c r="K32" s="277" t="s">
        <v>439</v>
      </c>
      <c r="L32" s="277" t="s">
        <v>440</v>
      </c>
      <c r="M32" s="277" t="s">
        <v>440</v>
      </c>
      <c r="N32" s="277" t="s">
        <v>440</v>
      </c>
    </row>
    <row r="33">
      <c r="A33" s="278" t="str">
        <f>HYPERLINK("https://beartail.atlassian.net/browse/KH-3338?atlOrigin=eyJpIjoiYzgwYTQ0ZjEyNzQzNGJhN2JmNjEyZTM0NmRhZWZhNjIiLCJwIjoic2hlZXRzLWppcmEifQ","KH-3338")</f>
        <v>KH-3338</v>
      </c>
      <c r="B33" s="277" t="s">
        <v>475</v>
      </c>
      <c r="C33" s="277" t="s">
        <v>435</v>
      </c>
      <c r="D33" s="279">
        <v>45300.65100694444</v>
      </c>
      <c r="E33" s="279">
        <v>45307.6400462963</v>
      </c>
      <c r="F33" s="277" t="s">
        <v>443</v>
      </c>
      <c r="G33" s="278" t="str">
        <f t="shared" si="1"/>
        <v>KH-2809</v>
      </c>
      <c r="H33" s="277" t="s">
        <v>437</v>
      </c>
      <c r="I33" s="277" t="s">
        <v>438</v>
      </c>
      <c r="J33" s="277" t="s">
        <v>438</v>
      </c>
      <c r="K33" s="277" t="s">
        <v>439</v>
      </c>
      <c r="L33" s="277" t="s">
        <v>440</v>
      </c>
      <c r="M33" s="277" t="s">
        <v>440</v>
      </c>
      <c r="N33" s="277" t="s">
        <v>440</v>
      </c>
    </row>
    <row r="34">
      <c r="A34" s="278" t="str">
        <f>HYPERLINK("https://beartail.atlassian.net/browse/KH-3348?atlOrigin=eyJpIjoiYzgwYTQ0ZjEyNzQzNGJhN2JmNjEyZTM0NmRhZWZhNjIiLCJwIjoic2hlZXRzLWppcmEifQ","KH-3348")</f>
        <v>KH-3348</v>
      </c>
      <c r="B34" s="277" t="s">
        <v>476</v>
      </c>
      <c r="C34" s="277" t="s">
        <v>435</v>
      </c>
      <c r="D34" s="279">
        <v>45303.45045138889</v>
      </c>
      <c r="E34" s="279">
        <v>45321.65782407407</v>
      </c>
      <c r="F34" s="277" t="s">
        <v>443</v>
      </c>
      <c r="G34" s="278" t="str">
        <f t="shared" si="1"/>
        <v>KH-2809</v>
      </c>
      <c r="H34" s="277" t="s">
        <v>437</v>
      </c>
      <c r="I34" s="277" t="s">
        <v>438</v>
      </c>
      <c r="J34" s="277" t="s">
        <v>438</v>
      </c>
      <c r="K34" s="277" t="s">
        <v>439</v>
      </c>
      <c r="L34" s="277" t="s">
        <v>440</v>
      </c>
      <c r="M34" s="277" t="s">
        <v>440</v>
      </c>
      <c r="N34" s="277" t="s">
        <v>440</v>
      </c>
    </row>
    <row r="35">
      <c r="A35" s="278" t="str">
        <f>HYPERLINK("https://beartail.atlassian.net/browse/KH-3252?atlOrigin=eyJpIjoiYzgwYTQ0ZjEyNzQzNGJhN2JmNjEyZTM0NmRhZWZhNjIiLCJwIjoic2hlZXRzLWppcmEifQ","KH-3252")</f>
        <v>KH-3252</v>
      </c>
      <c r="B35" s="277" t="s">
        <v>477</v>
      </c>
      <c r="C35" s="277" t="s">
        <v>435</v>
      </c>
      <c r="D35" s="279">
        <v>45273.76211805556</v>
      </c>
      <c r="E35" s="279">
        <v>45278.48118055556</v>
      </c>
      <c r="F35" s="277" t="s">
        <v>462</v>
      </c>
      <c r="G35" s="278" t="str">
        <f t="shared" si="1"/>
        <v>KH-2809</v>
      </c>
      <c r="H35" s="277" t="s">
        <v>437</v>
      </c>
      <c r="I35" s="277" t="s">
        <v>478</v>
      </c>
      <c r="J35" s="277" t="s">
        <v>441</v>
      </c>
      <c r="K35" s="277" t="s">
        <v>479</v>
      </c>
      <c r="L35" s="277" t="s">
        <v>440</v>
      </c>
      <c r="M35" s="277" t="s">
        <v>440</v>
      </c>
      <c r="N35" s="277" t="s">
        <v>440</v>
      </c>
    </row>
    <row r="36">
      <c r="A36" s="278" t="str">
        <f>HYPERLINK("https://beartail.atlassian.net/browse/KH-3253?atlOrigin=eyJpIjoiYzgwYTQ0ZjEyNzQzNGJhN2JmNjEyZTM0NmRhZWZhNjIiLCJwIjoic2hlZXRzLWppcmEifQ","KH-3253")</f>
        <v>KH-3253</v>
      </c>
      <c r="B36" s="277" t="s">
        <v>480</v>
      </c>
      <c r="C36" s="277" t="s">
        <v>435</v>
      </c>
      <c r="D36" s="279">
        <v>45273.7722337963</v>
      </c>
      <c r="E36" s="279">
        <v>45278.48929398148</v>
      </c>
      <c r="F36" s="277" t="s">
        <v>481</v>
      </c>
      <c r="G36" s="278" t="str">
        <f t="shared" si="1"/>
        <v>KH-2809</v>
      </c>
      <c r="H36" s="277" t="s">
        <v>437</v>
      </c>
      <c r="I36" s="277" t="s">
        <v>438</v>
      </c>
      <c r="J36" s="277" t="s">
        <v>441</v>
      </c>
      <c r="K36" s="277" t="s">
        <v>439</v>
      </c>
      <c r="L36" s="277" t="s">
        <v>440</v>
      </c>
      <c r="M36" s="277" t="s">
        <v>440</v>
      </c>
      <c r="N36" s="277" t="s">
        <v>440</v>
      </c>
    </row>
    <row r="37">
      <c r="A37" s="278" t="str">
        <f>HYPERLINK("https://beartail.atlassian.net/browse/KH-3258?atlOrigin=eyJpIjoiYzgwYTQ0ZjEyNzQzNGJhN2JmNjEyZTM0NmRhZWZhNjIiLCJwIjoic2hlZXRzLWppcmEifQ","KH-3258")</f>
        <v>KH-3258</v>
      </c>
      <c r="B37" s="277" t="s">
        <v>482</v>
      </c>
      <c r="C37" s="277" t="s">
        <v>483</v>
      </c>
      <c r="D37" s="279">
        <v>45275.58636574074</v>
      </c>
      <c r="E37" s="277" t="s">
        <v>440</v>
      </c>
      <c r="F37" s="277" t="s">
        <v>484</v>
      </c>
      <c r="G37" s="278" t="str">
        <f t="shared" si="1"/>
        <v>KH-2809</v>
      </c>
      <c r="H37" s="277" t="s">
        <v>437</v>
      </c>
      <c r="I37" s="277" t="s">
        <v>438</v>
      </c>
      <c r="J37" s="277" t="s">
        <v>440</v>
      </c>
      <c r="K37" s="277" t="s">
        <v>439</v>
      </c>
      <c r="L37" s="277" t="s">
        <v>440</v>
      </c>
      <c r="M37" s="277" t="s">
        <v>440</v>
      </c>
      <c r="N37" s="277" t="s">
        <v>440</v>
      </c>
    </row>
    <row r="38">
      <c r="A38" s="278" t="str">
        <f>HYPERLINK("https://beartail.atlassian.net/browse/KH-3349?atlOrigin=eyJpIjoiYzgwYTQ0ZjEyNzQzNGJhN2JmNjEyZTM0NmRhZWZhNjIiLCJwIjoic2hlZXRzLWppcmEifQ","KH-3349")</f>
        <v>KH-3349</v>
      </c>
      <c r="B38" s="277" t="s">
        <v>485</v>
      </c>
      <c r="C38" s="277" t="s">
        <v>435</v>
      </c>
      <c r="D38" s="279">
        <v>45303.517476851855</v>
      </c>
      <c r="E38" s="279">
        <v>45335.60826388889</v>
      </c>
      <c r="F38" s="277" t="s">
        <v>443</v>
      </c>
      <c r="G38" s="278" t="str">
        <f t="shared" si="1"/>
        <v>KH-2809</v>
      </c>
      <c r="H38" s="277" t="s">
        <v>437</v>
      </c>
      <c r="I38" s="277" t="s">
        <v>438</v>
      </c>
      <c r="J38" s="277" t="s">
        <v>438</v>
      </c>
      <c r="K38" s="277" t="s">
        <v>439</v>
      </c>
      <c r="L38" s="277" t="s">
        <v>440</v>
      </c>
      <c r="M38" s="277" t="s">
        <v>440</v>
      </c>
      <c r="N38" s="277" t="s">
        <v>440</v>
      </c>
    </row>
    <row r="39">
      <c r="A39" s="278" t="str">
        <f>HYPERLINK("https://beartail.atlassian.net/browse/KH-3350?atlOrigin=eyJpIjoiYzgwYTQ0ZjEyNzQzNGJhN2JmNjEyZTM0NmRhZWZhNjIiLCJwIjoic2hlZXRzLWppcmEifQ","KH-3350")</f>
        <v>KH-3350</v>
      </c>
      <c r="B39" s="277" t="s">
        <v>486</v>
      </c>
      <c r="C39" s="277" t="s">
        <v>435</v>
      </c>
      <c r="D39" s="279">
        <v>45303.51880787037</v>
      </c>
      <c r="E39" s="279">
        <v>45338.678923611114</v>
      </c>
      <c r="F39" s="277" t="s">
        <v>443</v>
      </c>
      <c r="G39" s="278" t="str">
        <f t="shared" si="1"/>
        <v>KH-2809</v>
      </c>
      <c r="H39" s="277" t="s">
        <v>437</v>
      </c>
      <c r="I39" s="277" t="s">
        <v>438</v>
      </c>
      <c r="J39" s="277" t="s">
        <v>438</v>
      </c>
      <c r="K39" s="277" t="s">
        <v>439</v>
      </c>
      <c r="L39" s="277" t="s">
        <v>440</v>
      </c>
      <c r="M39" s="277" t="s">
        <v>440</v>
      </c>
      <c r="N39" s="277" t="s">
        <v>440</v>
      </c>
    </row>
    <row r="40">
      <c r="A40" s="278" t="str">
        <f>HYPERLINK("https://beartail.atlassian.net/browse/KH-3523?atlOrigin=eyJpIjoiYzgwYTQ0ZjEyNzQzNGJhN2JmNjEyZTM0NmRhZWZhNjIiLCJwIjoic2hlZXRzLWppcmEifQ","KH-3523")</f>
        <v>KH-3523</v>
      </c>
      <c r="B40" s="277" t="s">
        <v>487</v>
      </c>
      <c r="C40" s="277" t="s">
        <v>435</v>
      </c>
      <c r="D40" s="279">
        <v>45323.610185185185</v>
      </c>
      <c r="E40" s="279">
        <v>45335.608298611114</v>
      </c>
      <c r="F40" s="277" t="s">
        <v>443</v>
      </c>
      <c r="G40" s="278" t="str">
        <f t="shared" si="1"/>
        <v>KH-2809</v>
      </c>
      <c r="H40" s="277" t="s">
        <v>437</v>
      </c>
      <c r="I40" s="277" t="s">
        <v>438</v>
      </c>
      <c r="J40" s="277" t="s">
        <v>438</v>
      </c>
      <c r="K40" s="277" t="s">
        <v>439</v>
      </c>
      <c r="L40" s="277" t="s">
        <v>440</v>
      </c>
      <c r="M40" s="277" t="s">
        <v>440</v>
      </c>
      <c r="N40" s="277" t="s">
        <v>440</v>
      </c>
    </row>
    <row r="41">
      <c r="A41" s="278" t="str">
        <f>HYPERLINK("https://beartail.atlassian.net/browse/KH-3526?atlOrigin=eyJpIjoiYzgwYTQ0ZjEyNzQzNGJhN2JmNjEyZTM0NmRhZWZhNjIiLCJwIjoic2hlZXRzLWppcmEifQ","KH-3526")</f>
        <v>KH-3526</v>
      </c>
      <c r="B41" s="277" t="s">
        <v>488</v>
      </c>
      <c r="C41" s="277" t="s">
        <v>435</v>
      </c>
      <c r="D41" s="279">
        <v>45324.629166666666</v>
      </c>
      <c r="E41" s="279">
        <v>45341.463483796295</v>
      </c>
      <c r="F41" s="277" t="s">
        <v>443</v>
      </c>
      <c r="G41" s="278" t="str">
        <f t="shared" si="1"/>
        <v>KH-2809</v>
      </c>
      <c r="H41" s="277" t="s">
        <v>437</v>
      </c>
      <c r="I41" s="277" t="s">
        <v>438</v>
      </c>
      <c r="J41" s="277" t="s">
        <v>438</v>
      </c>
      <c r="K41" s="277" t="s">
        <v>439</v>
      </c>
      <c r="L41" s="277" t="s">
        <v>440</v>
      </c>
      <c r="M41" s="277" t="s">
        <v>440</v>
      </c>
      <c r="N41" s="277" t="s">
        <v>440</v>
      </c>
    </row>
    <row r="42">
      <c r="A42" s="278" t="str">
        <f>HYPERLINK("https://beartail.atlassian.net/browse/KH-3530?atlOrigin=eyJpIjoiYzgwYTQ0ZjEyNzQzNGJhN2JmNjEyZTM0NmRhZWZhNjIiLCJwIjoic2hlZXRzLWppcmEifQ","KH-3530")</f>
        <v>KH-3530</v>
      </c>
      <c r="B42" s="277" t="s">
        <v>489</v>
      </c>
      <c r="C42" s="277" t="s">
        <v>435</v>
      </c>
      <c r="D42" s="279">
        <v>45327.482453703706</v>
      </c>
      <c r="E42" s="279">
        <v>45341.4637037037</v>
      </c>
      <c r="F42" s="277" t="s">
        <v>443</v>
      </c>
      <c r="G42" s="278" t="str">
        <f t="shared" si="1"/>
        <v>KH-2809</v>
      </c>
      <c r="H42" s="277" t="s">
        <v>437</v>
      </c>
      <c r="I42" s="277" t="s">
        <v>438</v>
      </c>
      <c r="J42" s="277" t="s">
        <v>438</v>
      </c>
      <c r="K42" s="277" t="s">
        <v>439</v>
      </c>
      <c r="L42" s="277" t="s">
        <v>440</v>
      </c>
      <c r="M42" s="277" t="s">
        <v>440</v>
      </c>
      <c r="N42" s="277" t="s">
        <v>440</v>
      </c>
    </row>
    <row r="43">
      <c r="A43" s="278" t="str">
        <f>HYPERLINK("https://beartail.atlassian.net/browse/KH-3535?atlOrigin=eyJpIjoiYzgwYTQ0ZjEyNzQzNGJhN2JmNjEyZTM0NmRhZWZhNjIiLCJwIjoic2hlZXRzLWppcmEifQ","KH-3535")</f>
        <v>KH-3535</v>
      </c>
      <c r="B43" s="277" t="s">
        <v>490</v>
      </c>
      <c r="C43" s="277" t="s">
        <v>435</v>
      </c>
      <c r="D43" s="279">
        <v>45328.634791666664</v>
      </c>
      <c r="E43" s="279">
        <v>45337.439108796294</v>
      </c>
      <c r="F43" s="277" t="s">
        <v>443</v>
      </c>
      <c r="G43" s="278" t="str">
        <f t="shared" si="1"/>
        <v>KH-2809</v>
      </c>
      <c r="H43" s="277" t="s">
        <v>437</v>
      </c>
      <c r="I43" s="277" t="s">
        <v>438</v>
      </c>
      <c r="J43" s="277" t="s">
        <v>438</v>
      </c>
      <c r="K43" s="277" t="s">
        <v>439</v>
      </c>
      <c r="L43" s="277" t="s">
        <v>440</v>
      </c>
      <c r="M43" s="277" t="s">
        <v>440</v>
      </c>
      <c r="N43" s="277" t="s">
        <v>440</v>
      </c>
    </row>
    <row r="44">
      <c r="A44" s="278" t="str">
        <f>HYPERLINK("https://beartail.atlassian.net/browse/KH-3553?atlOrigin=eyJpIjoiYzgwYTQ0ZjEyNzQzNGJhN2JmNjEyZTM0NmRhZWZhNjIiLCJwIjoic2hlZXRzLWppcmEifQ","KH-3553")</f>
        <v>KH-3553</v>
      </c>
      <c r="B44" s="277" t="s">
        <v>491</v>
      </c>
      <c r="C44" s="277" t="s">
        <v>435</v>
      </c>
      <c r="D44" s="279">
        <v>45330.679236111115</v>
      </c>
      <c r="E44" s="279">
        <v>45335.43851851852</v>
      </c>
      <c r="F44" s="277" t="s">
        <v>462</v>
      </c>
      <c r="G44" s="278" t="str">
        <f t="shared" si="1"/>
        <v>KH-2809</v>
      </c>
      <c r="H44" s="277" t="s">
        <v>437</v>
      </c>
      <c r="I44" s="277" t="s">
        <v>478</v>
      </c>
      <c r="J44" s="277" t="s">
        <v>438</v>
      </c>
      <c r="K44" s="277" t="s">
        <v>439</v>
      </c>
      <c r="L44" s="277" t="s">
        <v>440</v>
      </c>
      <c r="M44" s="277" t="s">
        <v>440</v>
      </c>
      <c r="N44" s="277" t="s">
        <v>440</v>
      </c>
    </row>
    <row r="45">
      <c r="A45" s="278" t="str">
        <f>HYPERLINK("https://beartail.atlassian.net/browse/KH-3554?atlOrigin=eyJpIjoiYzgwYTQ0ZjEyNzQzNGJhN2JmNjEyZTM0NmRhZWZhNjIiLCJwIjoic2hlZXRzLWppcmEifQ","KH-3554")</f>
        <v>KH-3554</v>
      </c>
      <c r="B45" s="277" t="s">
        <v>492</v>
      </c>
      <c r="C45" s="277" t="s">
        <v>435</v>
      </c>
      <c r="D45" s="279">
        <v>45330.70369212963</v>
      </c>
      <c r="E45" s="279">
        <v>45335.391238425924</v>
      </c>
      <c r="F45" s="277" t="s">
        <v>462</v>
      </c>
      <c r="G45" s="278" t="str">
        <f t="shared" si="1"/>
        <v>KH-2809</v>
      </c>
      <c r="H45" s="277" t="s">
        <v>437</v>
      </c>
      <c r="I45" s="277" t="s">
        <v>478</v>
      </c>
      <c r="J45" s="277" t="s">
        <v>438</v>
      </c>
      <c r="K45" s="277" t="s">
        <v>439</v>
      </c>
      <c r="L45" s="277" t="s">
        <v>440</v>
      </c>
      <c r="M45" s="277" t="s">
        <v>440</v>
      </c>
      <c r="N45" s="277" t="s">
        <v>440</v>
      </c>
    </row>
    <row r="46">
      <c r="A46" s="278" t="str">
        <f>HYPERLINK("https://beartail.atlassian.net/browse/KH-3558?atlOrigin=eyJpIjoiYzgwYTQ0ZjEyNzQzNGJhN2JmNjEyZTM0NmRhZWZhNjIiLCJwIjoic2hlZXRzLWppcmEifQ","KH-3558")</f>
        <v>KH-3558</v>
      </c>
      <c r="B46" s="277" t="s">
        <v>493</v>
      </c>
      <c r="C46" s="277" t="s">
        <v>435</v>
      </c>
      <c r="D46" s="279">
        <v>45335.49016203704</v>
      </c>
      <c r="E46" s="279">
        <v>45337.651030092595</v>
      </c>
      <c r="F46" s="277" t="s">
        <v>462</v>
      </c>
      <c r="G46" s="278" t="str">
        <f t="shared" si="1"/>
        <v>KH-2809</v>
      </c>
      <c r="H46" s="277" t="s">
        <v>437</v>
      </c>
      <c r="I46" s="277" t="s">
        <v>478</v>
      </c>
      <c r="J46" s="277" t="s">
        <v>438</v>
      </c>
      <c r="K46" s="277" t="s">
        <v>439</v>
      </c>
      <c r="L46" s="277" t="s">
        <v>440</v>
      </c>
      <c r="M46" s="277" t="s">
        <v>440</v>
      </c>
      <c r="N46" s="277" t="s">
        <v>440</v>
      </c>
    </row>
    <row r="47">
      <c r="A47" s="278" t="str">
        <f>HYPERLINK("https://beartail.atlassian.net/browse/KH-3560?atlOrigin=eyJpIjoiYzgwYTQ0ZjEyNzQzNGJhN2JmNjEyZTM0NmRhZWZhNjIiLCJwIjoic2hlZXRzLWppcmEifQ","KH-3560")</f>
        <v>KH-3560</v>
      </c>
      <c r="B47" s="277" t="s">
        <v>494</v>
      </c>
      <c r="C47" s="277" t="s">
        <v>435</v>
      </c>
      <c r="D47" s="279">
        <v>45335.58273148148</v>
      </c>
      <c r="E47" s="279">
        <v>45337.71145833333</v>
      </c>
      <c r="F47" s="277" t="s">
        <v>462</v>
      </c>
      <c r="G47" s="278" t="str">
        <f t="shared" si="1"/>
        <v>KH-2809</v>
      </c>
      <c r="H47" s="277" t="s">
        <v>437</v>
      </c>
      <c r="I47" s="277" t="s">
        <v>478</v>
      </c>
      <c r="J47" s="277" t="s">
        <v>438</v>
      </c>
      <c r="K47" s="277" t="s">
        <v>439</v>
      </c>
      <c r="L47" s="277" t="s">
        <v>440</v>
      </c>
      <c r="M47" s="277" t="s">
        <v>440</v>
      </c>
      <c r="N47" s="277" t="s">
        <v>440</v>
      </c>
    </row>
    <row r="48">
      <c r="A48" s="278" t="str">
        <f>HYPERLINK("https://beartail.atlassian.net/browse/KH-3561?atlOrigin=eyJpIjoiYzgwYTQ0ZjEyNzQzNGJhN2JmNjEyZTM0NmRhZWZhNjIiLCJwIjoic2hlZXRzLWppcmEifQ","KH-3561")</f>
        <v>KH-3561</v>
      </c>
      <c r="B48" s="277" t="s">
        <v>495</v>
      </c>
      <c r="C48" s="277" t="s">
        <v>435</v>
      </c>
      <c r="D48" s="279">
        <v>45335.60841435185</v>
      </c>
      <c r="E48" s="279">
        <v>45337.658113425925</v>
      </c>
      <c r="F48" s="277" t="s">
        <v>462</v>
      </c>
      <c r="G48" s="278" t="str">
        <f t="shared" si="1"/>
        <v>KH-2809</v>
      </c>
      <c r="H48" s="277" t="s">
        <v>437</v>
      </c>
      <c r="I48" s="277" t="s">
        <v>478</v>
      </c>
      <c r="J48" s="277" t="s">
        <v>438</v>
      </c>
      <c r="K48" s="277" t="s">
        <v>439</v>
      </c>
      <c r="L48" s="277" t="s">
        <v>440</v>
      </c>
      <c r="M48" s="277" t="s">
        <v>440</v>
      </c>
      <c r="N48" s="277" t="s">
        <v>440</v>
      </c>
    </row>
    <row r="49">
      <c r="A49" s="278" t="str">
        <f>HYPERLINK("https://beartail.atlassian.net/browse/KH-3571?atlOrigin=eyJpIjoiYzgwYTQ0ZjEyNzQzNGJhN2JmNjEyZTM0NmRhZWZhNjIiLCJwIjoic2hlZXRzLWppcmEifQ","KH-3571")</f>
        <v>KH-3571</v>
      </c>
      <c r="B49" s="277" t="s">
        <v>496</v>
      </c>
      <c r="C49" s="277" t="s">
        <v>435</v>
      </c>
      <c r="D49" s="279">
        <v>45338.44702546296</v>
      </c>
      <c r="E49" s="279">
        <v>45344.51545138889</v>
      </c>
      <c r="F49" s="277" t="s">
        <v>443</v>
      </c>
      <c r="G49" s="278" t="str">
        <f t="shared" si="1"/>
        <v>KH-2809</v>
      </c>
      <c r="H49" s="277" t="s">
        <v>437</v>
      </c>
      <c r="I49" s="277" t="s">
        <v>438</v>
      </c>
      <c r="J49" s="277" t="s">
        <v>438</v>
      </c>
      <c r="K49" s="277" t="s">
        <v>439</v>
      </c>
      <c r="L49" s="277" t="s">
        <v>440</v>
      </c>
      <c r="M49" s="277" t="s">
        <v>440</v>
      </c>
      <c r="N49" s="277" t="s">
        <v>440</v>
      </c>
    </row>
    <row r="50">
      <c r="A50" s="278" t="str">
        <f>HYPERLINK("https://beartail.atlassian.net/browse/KH-3570?atlOrigin=eyJpIjoiYzgwYTQ0ZjEyNzQzNGJhN2JmNjEyZTM0NmRhZWZhNjIiLCJwIjoic2hlZXRzLWppcmEifQ","KH-3570")</f>
        <v>KH-3570</v>
      </c>
      <c r="B50" s="277" t="s">
        <v>497</v>
      </c>
      <c r="C50" s="277" t="s">
        <v>435</v>
      </c>
      <c r="D50" s="279">
        <v>45337.43829861111</v>
      </c>
      <c r="E50" s="279">
        <v>45351.43482638889</v>
      </c>
      <c r="F50" s="277" t="s">
        <v>443</v>
      </c>
      <c r="G50" s="278" t="str">
        <f t="shared" si="1"/>
        <v>KH-2809</v>
      </c>
      <c r="H50" s="277" t="s">
        <v>437</v>
      </c>
      <c r="I50" s="277" t="s">
        <v>438</v>
      </c>
      <c r="J50" s="277" t="s">
        <v>438</v>
      </c>
      <c r="K50" s="277" t="s">
        <v>439</v>
      </c>
      <c r="L50" s="277" t="s">
        <v>440</v>
      </c>
      <c r="M50" s="277" t="s">
        <v>440</v>
      </c>
      <c r="N50" s="277" t="s">
        <v>440</v>
      </c>
    </row>
    <row r="51">
      <c r="A51" s="278" t="str">
        <f>HYPERLINK("https://beartail.atlassian.net/browse/KH-3573?atlOrigin=eyJpIjoiYzgwYTQ0ZjEyNzQzNGJhN2JmNjEyZTM0NmRhZWZhNjIiLCJwIjoic2hlZXRzLWppcmEifQ","KH-3573")</f>
        <v>KH-3573</v>
      </c>
      <c r="B51" s="277" t="s">
        <v>498</v>
      </c>
      <c r="C51" s="277" t="s">
        <v>435</v>
      </c>
      <c r="D51" s="279">
        <v>45341.46412037037</v>
      </c>
      <c r="E51" s="279">
        <v>45351.701828703706</v>
      </c>
      <c r="F51" s="277" t="s">
        <v>443</v>
      </c>
      <c r="G51" s="278" t="str">
        <f t="shared" si="1"/>
        <v>KH-2809</v>
      </c>
      <c r="H51" s="277" t="s">
        <v>437</v>
      </c>
      <c r="I51" s="277" t="s">
        <v>438</v>
      </c>
      <c r="J51" s="277" t="s">
        <v>438</v>
      </c>
      <c r="K51" s="277" t="s">
        <v>439</v>
      </c>
      <c r="L51" s="277" t="s">
        <v>440</v>
      </c>
      <c r="M51" s="277" t="s">
        <v>440</v>
      </c>
      <c r="N51" s="277" t="s">
        <v>440</v>
      </c>
    </row>
    <row r="52">
      <c r="A52" s="278" t="str">
        <f>HYPERLINK("https://beartail.atlassian.net/browse/KH-3602?atlOrigin=eyJpIjoiYzgwYTQ0ZjEyNzQzNGJhN2JmNjEyZTM0NmRhZWZhNjIiLCJwIjoic2hlZXRzLWppcmEifQ","KH-3602")</f>
        <v>KH-3602</v>
      </c>
      <c r="B52" s="277" t="s">
        <v>499</v>
      </c>
      <c r="C52" s="277" t="s">
        <v>435</v>
      </c>
      <c r="D52" s="279">
        <v>45352.73228009259</v>
      </c>
      <c r="E52" s="279">
        <v>45363.55685185185</v>
      </c>
      <c r="F52" s="277" t="s">
        <v>443</v>
      </c>
      <c r="G52" s="278" t="str">
        <f t="shared" si="1"/>
        <v>KH-2809</v>
      </c>
      <c r="H52" s="277" t="s">
        <v>437</v>
      </c>
      <c r="I52" s="277" t="s">
        <v>438</v>
      </c>
      <c r="J52" s="277" t="s">
        <v>438</v>
      </c>
      <c r="K52" s="277" t="s">
        <v>439</v>
      </c>
      <c r="L52" s="277" t="s">
        <v>440</v>
      </c>
      <c r="M52" s="277" t="s">
        <v>440</v>
      </c>
      <c r="N52" s="277" t="s">
        <v>440</v>
      </c>
    </row>
    <row r="53">
      <c r="A53" s="278" t="str">
        <f>HYPERLINK("https://beartail.atlassian.net/browse/KH-3603?atlOrigin=eyJpIjoiYzgwYTQ0ZjEyNzQzNGJhN2JmNjEyZTM0NmRhZWZhNjIiLCJwIjoic2hlZXRzLWppcmEifQ","KH-3603")</f>
        <v>KH-3603</v>
      </c>
      <c r="B53" s="277" t="s">
        <v>500</v>
      </c>
      <c r="C53" s="277" t="s">
        <v>435</v>
      </c>
      <c r="D53" s="279">
        <v>45352.73303240741</v>
      </c>
      <c r="E53" s="279">
        <v>45358.55446759259</v>
      </c>
      <c r="F53" s="277" t="s">
        <v>443</v>
      </c>
      <c r="G53" s="278" t="str">
        <f t="shared" si="1"/>
        <v>KH-2809</v>
      </c>
      <c r="H53" s="277" t="s">
        <v>437</v>
      </c>
      <c r="I53" s="277" t="s">
        <v>438</v>
      </c>
      <c r="J53" s="277" t="s">
        <v>438</v>
      </c>
      <c r="K53" s="277" t="s">
        <v>439</v>
      </c>
      <c r="L53" s="277" t="s">
        <v>440</v>
      </c>
      <c r="M53" s="277" t="s">
        <v>440</v>
      </c>
      <c r="N53" s="277" t="s">
        <v>440</v>
      </c>
    </row>
    <row r="54">
      <c r="A54" s="278" t="str">
        <f>HYPERLINK("https://beartail.atlassian.net/browse/KH-3604?atlOrigin=eyJpIjoiYzgwYTQ0ZjEyNzQzNGJhN2JmNjEyZTM0NmRhZWZhNjIiLCJwIjoic2hlZXRzLWppcmEifQ","KH-3604")</f>
        <v>KH-3604</v>
      </c>
      <c r="B54" s="277" t="s">
        <v>501</v>
      </c>
      <c r="C54" s="277" t="s">
        <v>435</v>
      </c>
      <c r="D54" s="279">
        <v>45352.73335648148</v>
      </c>
      <c r="E54" s="279">
        <v>45358.554502314815</v>
      </c>
      <c r="F54" s="277" t="s">
        <v>443</v>
      </c>
      <c r="G54" s="278" t="str">
        <f t="shared" si="1"/>
        <v>KH-2809</v>
      </c>
      <c r="H54" s="277" t="s">
        <v>437</v>
      </c>
      <c r="I54" s="277" t="s">
        <v>438</v>
      </c>
      <c r="J54" s="277" t="s">
        <v>438</v>
      </c>
      <c r="K54" s="277" t="s">
        <v>439</v>
      </c>
      <c r="L54" s="277" t="s">
        <v>440</v>
      </c>
      <c r="M54" s="277" t="s">
        <v>440</v>
      </c>
      <c r="N54" s="277" t="s">
        <v>440</v>
      </c>
    </row>
    <row r="55">
      <c r="A55" s="278" t="str">
        <f>HYPERLINK("https://beartail.atlassian.net/browse/KH-3605?atlOrigin=eyJpIjoiYzgwYTQ0ZjEyNzQzNGJhN2JmNjEyZTM0NmRhZWZhNjIiLCJwIjoic2hlZXRzLWppcmEifQ","KH-3605")</f>
        <v>KH-3605</v>
      </c>
      <c r="B55" s="277" t="s">
        <v>502</v>
      </c>
      <c r="C55" s="277" t="s">
        <v>435</v>
      </c>
      <c r="D55" s="279">
        <v>45352.73369212963</v>
      </c>
      <c r="E55" s="279">
        <v>45366.390648148146</v>
      </c>
      <c r="F55" s="277" t="s">
        <v>443</v>
      </c>
      <c r="G55" s="278" t="str">
        <f t="shared" si="1"/>
        <v>KH-2809</v>
      </c>
      <c r="H55" s="277" t="s">
        <v>437</v>
      </c>
      <c r="I55" s="277" t="s">
        <v>438</v>
      </c>
      <c r="J55" s="277" t="s">
        <v>438</v>
      </c>
      <c r="K55" s="277" t="s">
        <v>439</v>
      </c>
      <c r="L55" s="277" t="s">
        <v>440</v>
      </c>
      <c r="M55" s="277" t="s">
        <v>440</v>
      </c>
      <c r="N55" s="277" t="s">
        <v>440</v>
      </c>
    </row>
    <row r="56">
      <c r="A56" s="278" t="str">
        <f>HYPERLINK("https://beartail.atlassian.net/browse/KH-3606?atlOrigin=eyJpIjoiYzgwYTQ0ZjEyNzQzNGJhN2JmNjEyZTM0NmRhZWZhNjIiLCJwIjoic2hlZXRzLWppcmEifQ","KH-3606")</f>
        <v>KH-3606</v>
      </c>
      <c r="B56" s="277" t="s">
        <v>503</v>
      </c>
      <c r="C56" s="277" t="s">
        <v>435</v>
      </c>
      <c r="D56" s="279">
        <v>45352.734085648146</v>
      </c>
      <c r="E56" s="279">
        <v>45377.390335648146</v>
      </c>
      <c r="F56" s="277" t="s">
        <v>443</v>
      </c>
      <c r="G56" s="278" t="str">
        <f t="shared" si="1"/>
        <v>KH-2809</v>
      </c>
      <c r="H56" s="277" t="s">
        <v>437</v>
      </c>
      <c r="I56" s="277" t="s">
        <v>438</v>
      </c>
      <c r="J56" s="277" t="s">
        <v>438</v>
      </c>
      <c r="K56" s="277" t="s">
        <v>439</v>
      </c>
      <c r="L56" s="277" t="s">
        <v>440</v>
      </c>
      <c r="M56" s="277" t="s">
        <v>440</v>
      </c>
      <c r="N56" s="277" t="s">
        <v>440</v>
      </c>
    </row>
    <row r="57">
      <c r="A57" s="278" t="str">
        <f>HYPERLINK("https://beartail.atlassian.net/browse/KH-3607?atlOrigin=eyJpIjoiYzgwYTQ0ZjEyNzQzNGJhN2JmNjEyZTM0NmRhZWZhNjIiLCJwIjoic2hlZXRzLWppcmEifQ","KH-3607")</f>
        <v>KH-3607</v>
      </c>
      <c r="B57" s="277" t="s">
        <v>504</v>
      </c>
      <c r="C57" s="277" t="s">
        <v>435</v>
      </c>
      <c r="D57" s="279">
        <v>45352.734456018516</v>
      </c>
      <c r="E57" s="279">
        <v>45377.3903587963</v>
      </c>
      <c r="F57" s="277" t="s">
        <v>443</v>
      </c>
      <c r="G57" s="278" t="str">
        <f t="shared" si="1"/>
        <v>KH-2809</v>
      </c>
      <c r="H57" s="277" t="s">
        <v>437</v>
      </c>
      <c r="I57" s="277" t="s">
        <v>438</v>
      </c>
      <c r="J57" s="277" t="s">
        <v>438</v>
      </c>
      <c r="K57" s="277" t="s">
        <v>439</v>
      </c>
      <c r="L57" s="277" t="s">
        <v>440</v>
      </c>
      <c r="M57" s="277" t="s">
        <v>440</v>
      </c>
      <c r="N57" s="277" t="s">
        <v>440</v>
      </c>
    </row>
    <row r="58">
      <c r="A58" s="278" t="str">
        <f>HYPERLINK("https://beartail.atlassian.net/browse/KH-3608?atlOrigin=eyJpIjoiYzgwYTQ0ZjEyNzQzNGJhN2JmNjEyZTM0NmRhZWZhNjIiLCJwIjoic2hlZXRzLWppcmEifQ","KH-3608")</f>
        <v>KH-3608</v>
      </c>
      <c r="B58" s="277" t="s">
        <v>505</v>
      </c>
      <c r="C58" s="277" t="s">
        <v>435</v>
      </c>
      <c r="D58" s="279">
        <v>45352.73480324074</v>
      </c>
      <c r="E58" s="279">
        <v>45384.500868055555</v>
      </c>
      <c r="F58" s="277" t="s">
        <v>443</v>
      </c>
      <c r="G58" s="278" t="str">
        <f t="shared" si="1"/>
        <v>KH-2809</v>
      </c>
      <c r="H58" s="277" t="s">
        <v>437</v>
      </c>
      <c r="I58" s="277" t="s">
        <v>438</v>
      </c>
      <c r="J58" s="277" t="s">
        <v>438</v>
      </c>
      <c r="K58" s="277" t="s">
        <v>439</v>
      </c>
      <c r="L58" s="277" t="s">
        <v>440</v>
      </c>
      <c r="M58" s="277" t="s">
        <v>440</v>
      </c>
      <c r="N58" s="277" t="s">
        <v>440</v>
      </c>
    </row>
    <row r="59">
      <c r="A59" s="278" t="str">
        <f>HYPERLINK("https://beartail.atlassian.net/browse/KH-3664?atlOrigin=eyJpIjoiYzgwYTQ0ZjEyNzQzNGJhN2JmNjEyZTM0NmRhZWZhNjIiLCJwIjoic2hlZXRzLWppcmEifQ","KH-3664")</f>
        <v>KH-3664</v>
      </c>
      <c r="B59" s="277" t="s">
        <v>506</v>
      </c>
      <c r="C59" s="277" t="s">
        <v>435</v>
      </c>
      <c r="D59" s="279">
        <v>45372.748819444445</v>
      </c>
      <c r="E59" s="279">
        <v>45391.43373842593</v>
      </c>
      <c r="F59" s="277" t="s">
        <v>443</v>
      </c>
      <c r="G59" s="278" t="str">
        <f t="shared" si="1"/>
        <v>KH-2809</v>
      </c>
      <c r="H59" s="277" t="s">
        <v>437</v>
      </c>
      <c r="I59" s="277" t="s">
        <v>438</v>
      </c>
      <c r="J59" s="277" t="s">
        <v>438</v>
      </c>
      <c r="K59" s="277" t="s">
        <v>439</v>
      </c>
      <c r="L59" s="277" t="s">
        <v>440</v>
      </c>
      <c r="M59" s="277" t="s">
        <v>440</v>
      </c>
      <c r="N59" s="277" t="s">
        <v>440</v>
      </c>
    </row>
    <row r="60">
      <c r="A60" s="278" t="str">
        <f>HYPERLINK("https://beartail.atlassian.net/browse/KH-3609?atlOrigin=eyJpIjoiYzgwYTQ0ZjEyNzQzNGJhN2JmNjEyZTM0NmRhZWZhNjIiLCJwIjoic2hlZXRzLWppcmEifQ","KH-3609")</f>
        <v>KH-3609</v>
      </c>
      <c r="B60" s="277" t="s">
        <v>507</v>
      </c>
      <c r="C60" s="277" t="s">
        <v>435</v>
      </c>
      <c r="D60" s="279">
        <v>45352.73510416667</v>
      </c>
      <c r="E60" s="279">
        <v>45393.48131944444</v>
      </c>
      <c r="F60" s="277" t="s">
        <v>443</v>
      </c>
      <c r="G60" s="278" t="str">
        <f t="shared" si="1"/>
        <v>KH-2809</v>
      </c>
      <c r="H60" s="277" t="s">
        <v>437</v>
      </c>
      <c r="I60" s="277" t="s">
        <v>438</v>
      </c>
      <c r="J60" s="277" t="s">
        <v>438</v>
      </c>
      <c r="K60" s="277" t="s">
        <v>439</v>
      </c>
      <c r="L60" s="277" t="s">
        <v>440</v>
      </c>
      <c r="M60" s="277" t="s">
        <v>440</v>
      </c>
      <c r="N60" s="277" t="s">
        <v>440</v>
      </c>
    </row>
    <row r="61">
      <c r="A61" s="278" t="str">
        <f>HYPERLINK("https://beartail.atlassian.net/browse/KH-3610?atlOrigin=eyJpIjoiYzgwYTQ0ZjEyNzQzNGJhN2JmNjEyZTM0NmRhZWZhNjIiLCJwIjoic2hlZXRzLWppcmEifQ","KH-3610")</f>
        <v>KH-3610</v>
      </c>
      <c r="B61" s="277" t="s">
        <v>508</v>
      </c>
      <c r="C61" s="277" t="s">
        <v>435</v>
      </c>
      <c r="D61" s="279">
        <v>45352.735451388886</v>
      </c>
      <c r="E61" s="279">
        <v>45393.48136574074</v>
      </c>
      <c r="F61" s="277" t="s">
        <v>443</v>
      </c>
      <c r="G61" s="278" t="str">
        <f t="shared" si="1"/>
        <v>KH-2809</v>
      </c>
      <c r="H61" s="277" t="s">
        <v>437</v>
      </c>
      <c r="I61" s="277" t="s">
        <v>438</v>
      </c>
      <c r="J61" s="277" t="s">
        <v>438</v>
      </c>
      <c r="K61" s="277" t="s">
        <v>439</v>
      </c>
      <c r="L61" s="277" t="s">
        <v>440</v>
      </c>
      <c r="M61" s="277" t="s">
        <v>440</v>
      </c>
      <c r="N61" s="277" t="s">
        <v>440</v>
      </c>
    </row>
    <row r="62">
      <c r="A62" s="278" t="str">
        <f>HYPERLINK("https://beartail.atlassian.net/browse/KH-3711?atlOrigin=eyJpIjoiYzgwYTQ0ZjEyNzQzNGJhN2JmNjEyZTM0NmRhZWZhNjIiLCJwIjoic2hlZXRzLWppcmEifQ","KH-3711")</f>
        <v>KH-3711</v>
      </c>
      <c r="B62" s="277" t="s">
        <v>509</v>
      </c>
      <c r="C62" s="277" t="s">
        <v>435</v>
      </c>
      <c r="D62" s="279">
        <v>45391.62457175926</v>
      </c>
      <c r="E62" s="279">
        <v>45398.40116898148</v>
      </c>
      <c r="F62" s="277" t="s">
        <v>443</v>
      </c>
      <c r="G62" s="278" t="str">
        <f t="shared" si="1"/>
        <v>KH-2809</v>
      </c>
      <c r="H62" s="277" t="s">
        <v>437</v>
      </c>
      <c r="I62" s="277" t="s">
        <v>438</v>
      </c>
      <c r="J62" s="277" t="s">
        <v>438</v>
      </c>
      <c r="K62" s="277" t="s">
        <v>439</v>
      </c>
      <c r="L62" s="277" t="s">
        <v>440</v>
      </c>
      <c r="M62" s="277" t="s">
        <v>440</v>
      </c>
      <c r="N62" s="277" t="s">
        <v>440</v>
      </c>
    </row>
    <row r="63">
      <c r="A63" s="278" t="str">
        <f>HYPERLINK("https://beartail.atlassian.net/browse/KH-3717?atlOrigin=eyJpIjoiYzgwYTQ0ZjEyNzQzNGJhN2JmNjEyZTM0NmRhZWZhNjIiLCJwIjoic2hlZXRzLWppcmEifQ","KH-3717")</f>
        <v>KH-3717</v>
      </c>
      <c r="B63" s="277" t="s">
        <v>510</v>
      </c>
      <c r="C63" s="277" t="s">
        <v>435</v>
      </c>
      <c r="D63" s="279">
        <v>45391.74491898148</v>
      </c>
      <c r="E63" s="279">
        <v>45392.487129629626</v>
      </c>
      <c r="F63" s="277" t="s">
        <v>481</v>
      </c>
      <c r="G63" s="278" t="str">
        <f t="shared" si="1"/>
        <v>KH-2809</v>
      </c>
      <c r="H63" s="277" t="s">
        <v>437</v>
      </c>
      <c r="I63" s="277" t="s">
        <v>478</v>
      </c>
      <c r="J63" s="277" t="s">
        <v>438</v>
      </c>
      <c r="K63" s="277" t="s">
        <v>439</v>
      </c>
      <c r="L63" s="277" t="s">
        <v>440</v>
      </c>
      <c r="M63" s="277" t="s">
        <v>440</v>
      </c>
      <c r="N63" s="277" t="s">
        <v>440</v>
      </c>
    </row>
    <row r="64">
      <c r="A64" s="278" t="str">
        <f>HYPERLINK("https://beartail.atlassian.net/browse/KH-3720?atlOrigin=eyJpIjoiYzgwYTQ0ZjEyNzQzNGJhN2JmNjEyZTM0NmRhZWZhNjIiLCJwIjoic2hlZXRzLWppcmEifQ","KH-3720")</f>
        <v>KH-3720</v>
      </c>
      <c r="B64" s="277" t="s">
        <v>511</v>
      </c>
      <c r="C64" s="277" t="s">
        <v>435</v>
      </c>
      <c r="D64" s="279">
        <v>45392.68204861111</v>
      </c>
      <c r="E64" s="279">
        <v>45393.55925925926</v>
      </c>
      <c r="F64" s="277" t="s">
        <v>481</v>
      </c>
      <c r="G64" s="278" t="str">
        <f t="shared" si="1"/>
        <v>KH-2809</v>
      </c>
      <c r="H64" s="277" t="s">
        <v>437</v>
      </c>
      <c r="I64" s="277" t="s">
        <v>478</v>
      </c>
      <c r="J64" s="277" t="s">
        <v>438</v>
      </c>
      <c r="K64" s="277" t="s">
        <v>439</v>
      </c>
      <c r="L64" s="277" t="s">
        <v>440</v>
      </c>
      <c r="M64" s="277" t="s">
        <v>440</v>
      </c>
      <c r="N64" s="277" t="s">
        <v>440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8"/>
      <c r="C1" s="249"/>
    </row>
    <row r="2">
      <c r="B2" s="250" t="s">
        <v>354</v>
      </c>
      <c r="E2" s="251" t="s">
        <v>355</v>
      </c>
      <c r="F2" s="252"/>
      <c r="G2" s="253"/>
    </row>
    <row r="3">
      <c r="B3" s="254" t="s">
        <v>235</v>
      </c>
      <c r="C3" s="255" t="s">
        <v>356</v>
      </c>
      <c r="D3" s="256" t="s">
        <v>357</v>
      </c>
      <c r="E3" s="257" t="s">
        <v>358</v>
      </c>
      <c r="F3" s="257" t="s">
        <v>359</v>
      </c>
      <c r="G3" s="257" t="s">
        <v>360</v>
      </c>
      <c r="H3" s="280" t="s">
        <v>512</v>
      </c>
      <c r="I3" s="280" t="s">
        <v>238</v>
      </c>
    </row>
    <row r="4">
      <c r="B4" s="259">
        <v>1.0</v>
      </c>
      <c r="C4" s="260" t="s">
        <v>361</v>
      </c>
      <c r="D4" s="261" t="s">
        <v>513</v>
      </c>
      <c r="E4" s="281"/>
      <c r="F4" s="282"/>
      <c r="G4" s="282"/>
      <c r="H4" s="262" t="s">
        <v>64</v>
      </c>
      <c r="I4" s="238"/>
    </row>
    <row r="5">
      <c r="B5" s="259">
        <v>2.0</v>
      </c>
      <c r="C5" s="264"/>
      <c r="D5" s="261" t="s">
        <v>514</v>
      </c>
      <c r="E5" s="281"/>
      <c r="F5" s="282"/>
      <c r="G5" s="282"/>
      <c r="H5" s="283" t="s">
        <v>64</v>
      </c>
      <c r="I5" s="238"/>
    </row>
    <row r="6">
      <c r="B6" s="259">
        <v>3.0</v>
      </c>
      <c r="C6" s="265" t="s">
        <v>364</v>
      </c>
      <c r="D6" s="261" t="s">
        <v>515</v>
      </c>
      <c r="E6" s="281"/>
      <c r="F6" s="282"/>
      <c r="G6" s="282"/>
      <c r="H6" s="283" t="s">
        <v>64</v>
      </c>
      <c r="I6" s="238"/>
    </row>
    <row r="7">
      <c r="B7" s="259">
        <v>4.0</v>
      </c>
      <c r="C7" s="265" t="s">
        <v>366</v>
      </c>
      <c r="D7" s="261" t="s">
        <v>516</v>
      </c>
      <c r="E7" s="281"/>
      <c r="F7" s="282"/>
      <c r="G7" s="282"/>
      <c r="H7" s="283" t="s">
        <v>64</v>
      </c>
      <c r="I7" s="238"/>
    </row>
    <row r="8">
      <c r="B8" s="259">
        <v>5.0</v>
      </c>
      <c r="C8" s="265" t="s">
        <v>517</v>
      </c>
      <c r="D8" s="261" t="s">
        <v>518</v>
      </c>
      <c r="E8" s="282"/>
      <c r="F8" s="281"/>
      <c r="G8" s="282"/>
      <c r="H8" s="262" t="s">
        <v>64</v>
      </c>
      <c r="I8" s="238"/>
    </row>
    <row r="9">
      <c r="B9" s="259">
        <v>6.0</v>
      </c>
      <c r="C9" s="265" t="s">
        <v>348</v>
      </c>
      <c r="D9" s="261" t="s">
        <v>519</v>
      </c>
      <c r="E9" s="282"/>
      <c r="F9" s="282"/>
      <c r="G9" s="281"/>
      <c r="H9" s="283" t="s">
        <v>64</v>
      </c>
      <c r="I9" s="238"/>
    </row>
    <row r="10">
      <c r="B10" s="259">
        <v>7.0</v>
      </c>
      <c r="C10" s="265" t="s">
        <v>371</v>
      </c>
      <c r="D10" s="261" t="s">
        <v>520</v>
      </c>
      <c r="E10" s="282"/>
      <c r="F10" s="282"/>
      <c r="G10" s="281"/>
      <c r="H10" s="262" t="s">
        <v>64</v>
      </c>
      <c r="I10" s="238"/>
    </row>
    <row r="11">
      <c r="B11" s="248"/>
      <c r="C11" s="249"/>
    </row>
    <row r="12">
      <c r="B12" s="248"/>
      <c r="C12" s="249"/>
    </row>
    <row r="13">
      <c r="B13" s="248"/>
      <c r="C13" s="249"/>
    </row>
    <row r="14">
      <c r="B14" s="248"/>
      <c r="C14" s="284"/>
      <c r="H14" s="285" t="s">
        <v>521</v>
      </c>
      <c r="I14" s="286"/>
      <c r="J14" s="287" t="s">
        <v>522</v>
      </c>
      <c r="K14" s="286"/>
      <c r="L14" s="288" t="s">
        <v>523</v>
      </c>
    </row>
    <row r="15">
      <c r="B15" s="289" t="s">
        <v>235</v>
      </c>
      <c r="C15" s="290" t="s">
        <v>524</v>
      </c>
      <c r="D15" s="291" t="s">
        <v>525</v>
      </c>
      <c r="E15" s="289" t="s">
        <v>526</v>
      </c>
      <c r="F15" s="289" t="s">
        <v>527</v>
      </c>
      <c r="G15" s="289" t="s">
        <v>528</v>
      </c>
      <c r="H15" s="292" t="s">
        <v>529</v>
      </c>
      <c r="I15" s="292" t="s">
        <v>530</v>
      </c>
      <c r="J15" s="292" t="s">
        <v>531</v>
      </c>
      <c r="K15" s="292" t="s">
        <v>530</v>
      </c>
      <c r="L15" s="293"/>
    </row>
    <row r="16">
      <c r="A16" s="34"/>
      <c r="B16" s="294">
        <v>1.0</v>
      </c>
      <c r="C16" s="295" t="s">
        <v>532</v>
      </c>
      <c r="D16" s="296" t="s">
        <v>533</v>
      </c>
      <c r="E16" s="297"/>
      <c r="F16" s="297" t="s">
        <v>534</v>
      </c>
      <c r="G16" s="297"/>
      <c r="H16" s="298"/>
      <c r="I16" s="298"/>
      <c r="J16" s="298"/>
      <c r="K16" s="298"/>
      <c r="L16" s="299" t="s">
        <v>535</v>
      </c>
      <c r="M16" s="34"/>
      <c r="N16" s="34"/>
      <c r="O16" s="34"/>
      <c r="P16" s="34"/>
      <c r="Q16" s="34"/>
      <c r="R16" s="34"/>
      <c r="S16" s="34"/>
      <c r="T16" s="34"/>
      <c r="U16" s="34"/>
      <c r="V16" s="34"/>
      <c r="W16" s="34"/>
      <c r="X16" s="34"/>
      <c r="Y16" s="34"/>
      <c r="Z16" s="34"/>
      <c r="AA16" s="34"/>
      <c r="AB16" s="34"/>
      <c r="AC16" s="34"/>
    </row>
    <row r="17">
      <c r="A17" s="34"/>
      <c r="B17" s="294">
        <f t="shared" ref="B17:B38" si="1">B16+1</f>
        <v>2</v>
      </c>
      <c r="C17" s="300"/>
      <c r="D17" s="301" t="s">
        <v>536</v>
      </c>
      <c r="E17" s="297" t="s">
        <v>537</v>
      </c>
      <c r="F17" s="298"/>
      <c r="G17" s="298"/>
      <c r="H17" s="298"/>
      <c r="I17" s="298"/>
      <c r="J17" s="298"/>
      <c r="K17" s="298"/>
      <c r="L17" s="299" t="s">
        <v>538</v>
      </c>
      <c r="M17" s="34"/>
      <c r="N17" s="34"/>
      <c r="O17" s="34"/>
      <c r="P17" s="34"/>
      <c r="Q17" s="34"/>
      <c r="R17" s="34"/>
      <c r="S17" s="34"/>
      <c r="T17" s="34"/>
      <c r="U17" s="34"/>
      <c r="V17" s="34"/>
      <c r="W17" s="34"/>
      <c r="X17" s="34"/>
      <c r="Y17" s="34"/>
      <c r="Z17" s="34"/>
      <c r="AA17" s="34"/>
      <c r="AB17" s="34"/>
      <c r="AC17" s="34"/>
    </row>
    <row r="18">
      <c r="A18" s="34"/>
      <c r="B18" s="294">
        <f t="shared" si="1"/>
        <v>3</v>
      </c>
      <c r="C18" s="302"/>
      <c r="D18" s="296" t="s">
        <v>539</v>
      </c>
      <c r="E18" s="297"/>
      <c r="F18" s="298"/>
      <c r="G18" s="298"/>
      <c r="H18" s="298"/>
      <c r="I18" s="298"/>
      <c r="J18" s="303" t="s">
        <v>540</v>
      </c>
      <c r="K18" s="303" t="s">
        <v>540</v>
      </c>
      <c r="L18" s="299" t="s">
        <v>541</v>
      </c>
      <c r="M18" s="34"/>
      <c r="N18" s="34"/>
      <c r="O18" s="34"/>
      <c r="P18" s="34"/>
      <c r="Q18" s="34"/>
      <c r="R18" s="34"/>
      <c r="S18" s="34"/>
      <c r="T18" s="34"/>
      <c r="U18" s="34"/>
      <c r="V18" s="34"/>
      <c r="W18" s="34"/>
      <c r="X18" s="34"/>
      <c r="Y18" s="34"/>
      <c r="Z18" s="34"/>
      <c r="AA18" s="34"/>
      <c r="AB18" s="34"/>
      <c r="AC18" s="34"/>
    </row>
    <row r="19">
      <c r="A19" s="34"/>
      <c r="B19" s="294">
        <f t="shared" si="1"/>
        <v>4</v>
      </c>
      <c r="C19" s="295" t="s">
        <v>542</v>
      </c>
      <c r="D19" s="301" t="s">
        <v>543</v>
      </c>
      <c r="E19" s="298"/>
      <c r="F19" s="298"/>
      <c r="G19" s="298"/>
      <c r="H19" s="298"/>
      <c r="I19" s="298"/>
      <c r="J19" s="298"/>
      <c r="K19" s="303" t="s">
        <v>540</v>
      </c>
      <c r="L19" s="298" t="s">
        <v>544</v>
      </c>
      <c r="M19" s="34"/>
      <c r="N19" s="34"/>
      <c r="O19" s="34"/>
      <c r="P19" s="34"/>
      <c r="Q19" s="34"/>
      <c r="R19" s="34"/>
      <c r="S19" s="34"/>
      <c r="T19" s="34"/>
      <c r="U19" s="34"/>
      <c r="V19" s="34"/>
      <c r="W19" s="34"/>
      <c r="X19" s="34"/>
      <c r="Y19" s="34"/>
      <c r="Z19" s="34"/>
      <c r="AA19" s="34"/>
      <c r="AB19" s="34"/>
      <c r="AC19" s="34"/>
    </row>
    <row r="20">
      <c r="A20" s="34"/>
      <c r="B20" s="294">
        <f t="shared" si="1"/>
        <v>5</v>
      </c>
      <c r="C20" s="300"/>
      <c r="D20" s="301" t="s">
        <v>545</v>
      </c>
      <c r="E20" s="298"/>
      <c r="F20" s="298"/>
      <c r="G20" s="298"/>
      <c r="H20" s="298"/>
      <c r="I20" s="298"/>
      <c r="J20" s="303" t="s">
        <v>540</v>
      </c>
      <c r="K20" s="303" t="s">
        <v>540</v>
      </c>
      <c r="L20" s="298" t="s">
        <v>544</v>
      </c>
      <c r="M20" s="34"/>
      <c r="N20" s="34"/>
      <c r="O20" s="34"/>
      <c r="P20" s="34"/>
      <c r="Q20" s="34"/>
      <c r="R20" s="34"/>
      <c r="S20" s="34"/>
      <c r="T20" s="34"/>
      <c r="U20" s="34"/>
      <c r="V20" s="34"/>
      <c r="W20" s="34"/>
      <c r="X20" s="34"/>
      <c r="Y20" s="34"/>
      <c r="Z20" s="34"/>
      <c r="AA20" s="34"/>
      <c r="AB20" s="34"/>
      <c r="AC20" s="34"/>
    </row>
    <row r="21">
      <c r="A21" s="34"/>
      <c r="B21" s="294">
        <f t="shared" si="1"/>
        <v>6</v>
      </c>
      <c r="C21" s="300"/>
      <c r="D21" s="301" t="s">
        <v>546</v>
      </c>
      <c r="E21" s="298"/>
      <c r="F21" s="298"/>
      <c r="G21" s="298"/>
      <c r="H21" s="298"/>
      <c r="I21" s="298"/>
      <c r="J21" s="303" t="s">
        <v>540</v>
      </c>
      <c r="K21" s="303" t="s">
        <v>540</v>
      </c>
      <c r="L21" s="298" t="s">
        <v>547</v>
      </c>
      <c r="M21" s="34"/>
      <c r="N21" s="34"/>
      <c r="O21" s="34"/>
      <c r="P21" s="34"/>
      <c r="Q21" s="34"/>
      <c r="R21" s="34"/>
      <c r="S21" s="34"/>
      <c r="T21" s="34"/>
      <c r="U21" s="34"/>
      <c r="V21" s="34"/>
      <c r="W21" s="34"/>
      <c r="X21" s="34"/>
      <c r="Y21" s="34"/>
      <c r="Z21" s="34"/>
      <c r="AA21" s="34"/>
      <c r="AB21" s="34"/>
      <c r="AC21" s="34"/>
    </row>
    <row r="22">
      <c r="A22" s="34"/>
      <c r="B22" s="294">
        <f t="shared" si="1"/>
        <v>7</v>
      </c>
      <c r="C22" s="300"/>
      <c r="D22" s="301" t="s">
        <v>548</v>
      </c>
      <c r="E22" s="298"/>
      <c r="F22" s="298"/>
      <c r="G22" s="298"/>
      <c r="H22" s="298"/>
      <c r="I22" s="298"/>
      <c r="J22" s="303" t="s">
        <v>540</v>
      </c>
      <c r="K22" s="303" t="s">
        <v>540</v>
      </c>
      <c r="L22" s="298" t="s">
        <v>547</v>
      </c>
      <c r="M22" s="34"/>
      <c r="N22" s="34"/>
      <c r="O22" s="34"/>
      <c r="P22" s="34"/>
      <c r="Q22" s="34"/>
      <c r="R22" s="34"/>
      <c r="S22" s="34"/>
      <c r="T22" s="34"/>
      <c r="U22" s="34"/>
      <c r="V22" s="34"/>
      <c r="W22" s="34"/>
      <c r="X22" s="34"/>
      <c r="Y22" s="34"/>
      <c r="Z22" s="34"/>
      <c r="AA22" s="34"/>
      <c r="AB22" s="34"/>
      <c r="AC22" s="34"/>
    </row>
    <row r="23">
      <c r="A23" s="34"/>
      <c r="B23" s="294">
        <f t="shared" si="1"/>
        <v>8</v>
      </c>
      <c r="C23" s="300"/>
      <c r="D23" s="296" t="s">
        <v>549</v>
      </c>
      <c r="E23" s="298"/>
      <c r="F23" s="298"/>
      <c r="G23" s="298"/>
      <c r="H23" s="298"/>
      <c r="I23" s="298"/>
      <c r="J23" s="298"/>
      <c r="K23" s="298"/>
      <c r="L23" s="298" t="s">
        <v>547</v>
      </c>
      <c r="M23" s="34"/>
      <c r="N23" s="34"/>
      <c r="O23" s="34"/>
      <c r="P23" s="34"/>
      <c r="Q23" s="34"/>
      <c r="R23" s="34"/>
      <c r="S23" s="34"/>
      <c r="T23" s="34"/>
      <c r="U23" s="34"/>
      <c r="V23" s="34"/>
      <c r="W23" s="34"/>
      <c r="X23" s="34"/>
      <c r="Y23" s="34"/>
      <c r="Z23" s="34"/>
      <c r="AA23" s="34"/>
      <c r="AB23" s="34"/>
      <c r="AC23" s="34"/>
    </row>
    <row r="24">
      <c r="A24" s="34"/>
      <c r="B24" s="294">
        <f t="shared" si="1"/>
        <v>9</v>
      </c>
      <c r="C24" s="302"/>
      <c r="D24" s="296" t="s">
        <v>550</v>
      </c>
      <c r="E24" s="303"/>
      <c r="F24" s="303"/>
      <c r="G24" s="303"/>
      <c r="H24" s="303" t="s">
        <v>540</v>
      </c>
      <c r="I24" s="303" t="s">
        <v>540</v>
      </c>
      <c r="J24" s="303" t="s">
        <v>540</v>
      </c>
      <c r="K24" s="303" t="s">
        <v>540</v>
      </c>
      <c r="L24" s="303" t="s">
        <v>540</v>
      </c>
      <c r="M24" s="34"/>
      <c r="N24" s="34"/>
      <c r="O24" s="34"/>
      <c r="P24" s="34"/>
      <c r="Q24" s="34"/>
      <c r="R24" s="34"/>
      <c r="S24" s="34"/>
      <c r="T24" s="34"/>
      <c r="U24" s="34"/>
      <c r="V24" s="34"/>
      <c r="W24" s="34"/>
      <c r="X24" s="34"/>
      <c r="Y24" s="34"/>
      <c r="Z24" s="34"/>
      <c r="AA24" s="34"/>
      <c r="AB24" s="34"/>
      <c r="AC24" s="34"/>
    </row>
    <row r="25">
      <c r="A25" s="34"/>
      <c r="B25" s="294">
        <f t="shared" si="1"/>
        <v>10</v>
      </c>
      <c r="C25" s="295" t="s">
        <v>551</v>
      </c>
      <c r="D25" s="296" t="s">
        <v>552</v>
      </c>
      <c r="E25" s="297" t="s">
        <v>553</v>
      </c>
      <c r="F25" s="297" t="s">
        <v>529</v>
      </c>
      <c r="G25" s="297"/>
      <c r="H25" s="298"/>
      <c r="I25" s="298"/>
      <c r="J25" s="298"/>
      <c r="K25" s="298"/>
      <c r="L25" s="298" t="s">
        <v>554</v>
      </c>
      <c r="M25" s="34"/>
      <c r="N25" s="34"/>
      <c r="O25" s="34"/>
      <c r="P25" s="34"/>
      <c r="Q25" s="34"/>
      <c r="R25" s="34"/>
      <c r="S25" s="34"/>
      <c r="T25" s="34"/>
      <c r="U25" s="34"/>
      <c r="V25" s="34"/>
      <c r="W25" s="34"/>
      <c r="X25" s="34"/>
      <c r="Y25" s="34"/>
      <c r="Z25" s="34"/>
      <c r="AA25" s="34"/>
      <c r="AB25" s="34"/>
      <c r="AC25" s="34"/>
    </row>
    <row r="26">
      <c r="A26" s="34"/>
      <c r="B26" s="294">
        <f t="shared" si="1"/>
        <v>11</v>
      </c>
      <c r="C26" s="300"/>
      <c r="D26" s="301" t="s">
        <v>555</v>
      </c>
      <c r="E26" s="297" t="s">
        <v>553</v>
      </c>
      <c r="F26" s="298"/>
      <c r="G26" s="298"/>
      <c r="H26" s="298"/>
      <c r="I26" s="298"/>
      <c r="J26" s="298"/>
      <c r="K26" s="298"/>
      <c r="L26" s="298" t="s">
        <v>544</v>
      </c>
      <c r="M26" s="34"/>
      <c r="N26" s="34"/>
      <c r="O26" s="34"/>
      <c r="P26" s="34"/>
      <c r="Q26" s="34"/>
      <c r="R26" s="34"/>
      <c r="S26" s="34"/>
      <c r="T26" s="34"/>
      <c r="U26" s="34"/>
      <c r="V26" s="34"/>
      <c r="W26" s="34"/>
      <c r="X26" s="34"/>
      <c r="Y26" s="34"/>
      <c r="Z26" s="34"/>
      <c r="AA26" s="34"/>
      <c r="AB26" s="34"/>
      <c r="AC26" s="34"/>
    </row>
    <row r="27">
      <c r="A27" s="34"/>
      <c r="B27" s="294">
        <f t="shared" si="1"/>
        <v>12</v>
      </c>
      <c r="C27" s="300"/>
      <c r="D27" s="301" t="s">
        <v>556</v>
      </c>
      <c r="E27" s="297" t="s">
        <v>553</v>
      </c>
      <c r="F27" s="298"/>
      <c r="G27" s="298"/>
      <c r="H27" s="298"/>
      <c r="I27" s="298"/>
      <c r="J27" s="298"/>
      <c r="K27" s="298"/>
      <c r="L27" s="298" t="s">
        <v>544</v>
      </c>
      <c r="M27" s="34"/>
      <c r="N27" s="34"/>
      <c r="O27" s="34"/>
      <c r="P27" s="34"/>
      <c r="Q27" s="34"/>
      <c r="R27" s="34"/>
      <c r="S27" s="34"/>
      <c r="T27" s="34"/>
      <c r="U27" s="34"/>
      <c r="V27" s="34"/>
      <c r="W27" s="34"/>
      <c r="X27" s="34"/>
      <c r="Y27" s="34"/>
      <c r="Z27" s="34"/>
      <c r="AA27" s="34"/>
      <c r="AB27" s="34"/>
      <c r="AC27" s="34"/>
    </row>
    <row r="28">
      <c r="A28" s="34"/>
      <c r="B28" s="294">
        <f t="shared" si="1"/>
        <v>13</v>
      </c>
      <c r="C28" s="302"/>
      <c r="D28" s="296" t="s">
        <v>549</v>
      </c>
      <c r="E28" s="297" t="s">
        <v>553</v>
      </c>
      <c r="F28" s="298"/>
      <c r="G28" s="298"/>
      <c r="H28" s="298"/>
      <c r="I28" s="298"/>
      <c r="J28" s="298"/>
      <c r="K28" s="298"/>
      <c r="L28" s="298"/>
      <c r="M28" s="34"/>
      <c r="N28" s="34"/>
      <c r="O28" s="34"/>
      <c r="P28" s="34"/>
      <c r="Q28" s="34"/>
      <c r="R28" s="34"/>
      <c r="S28" s="34"/>
      <c r="T28" s="34"/>
      <c r="U28" s="34"/>
      <c r="V28" s="34"/>
      <c r="W28" s="34"/>
      <c r="X28" s="34"/>
      <c r="Y28" s="34"/>
      <c r="Z28" s="34"/>
      <c r="AA28" s="34"/>
      <c r="AB28" s="34"/>
      <c r="AC28" s="34"/>
    </row>
    <row r="29">
      <c r="A29" s="34"/>
      <c r="B29" s="294">
        <f t="shared" si="1"/>
        <v>14</v>
      </c>
      <c r="C29" s="295" t="s">
        <v>557</v>
      </c>
      <c r="D29" s="301" t="s">
        <v>558</v>
      </c>
      <c r="E29" s="297" t="s">
        <v>553</v>
      </c>
      <c r="F29" s="303"/>
      <c r="G29" s="303"/>
      <c r="H29" s="303" t="s">
        <v>540</v>
      </c>
      <c r="I29" s="303" t="s">
        <v>540</v>
      </c>
      <c r="J29" s="298"/>
      <c r="K29" s="298"/>
      <c r="L29" s="298" t="s">
        <v>559</v>
      </c>
      <c r="M29" s="34"/>
      <c r="N29" s="34"/>
      <c r="O29" s="34"/>
      <c r="P29" s="34"/>
      <c r="Q29" s="34"/>
      <c r="R29" s="34"/>
      <c r="S29" s="34"/>
      <c r="T29" s="34"/>
      <c r="U29" s="34"/>
      <c r="V29" s="34"/>
      <c r="W29" s="34"/>
      <c r="X29" s="34"/>
      <c r="Y29" s="34"/>
      <c r="Z29" s="34"/>
      <c r="AA29" s="34"/>
      <c r="AB29" s="34"/>
      <c r="AC29" s="34"/>
    </row>
    <row r="30">
      <c r="A30" s="34"/>
      <c r="B30" s="294">
        <f t="shared" si="1"/>
        <v>15</v>
      </c>
      <c r="C30" s="300"/>
      <c r="D30" s="301" t="s">
        <v>560</v>
      </c>
      <c r="E30" s="303"/>
      <c r="F30" s="303"/>
      <c r="G30" s="303"/>
      <c r="H30" s="303" t="s">
        <v>540</v>
      </c>
      <c r="I30" s="303" t="s">
        <v>540</v>
      </c>
      <c r="J30" s="298"/>
      <c r="K30" s="298"/>
      <c r="L30" s="298" t="s">
        <v>561</v>
      </c>
      <c r="M30" s="34"/>
      <c r="N30" s="34"/>
      <c r="O30" s="34"/>
      <c r="P30" s="34"/>
      <c r="Q30" s="34"/>
      <c r="R30" s="34"/>
      <c r="S30" s="34"/>
      <c r="T30" s="34"/>
      <c r="U30" s="34"/>
      <c r="V30" s="34"/>
      <c r="W30" s="34"/>
      <c r="X30" s="34"/>
      <c r="Y30" s="34"/>
      <c r="Z30" s="34"/>
      <c r="AA30" s="34"/>
      <c r="AB30" s="34"/>
      <c r="AC30" s="34"/>
    </row>
    <row r="31">
      <c r="A31" s="34"/>
      <c r="B31" s="294">
        <f t="shared" si="1"/>
        <v>16</v>
      </c>
      <c r="C31" s="300"/>
      <c r="D31" s="301" t="s">
        <v>562</v>
      </c>
      <c r="E31" s="303"/>
      <c r="F31" s="303"/>
      <c r="G31" s="303"/>
      <c r="H31" s="303" t="s">
        <v>540</v>
      </c>
      <c r="I31" s="303" t="s">
        <v>540</v>
      </c>
      <c r="J31" s="298"/>
      <c r="K31" s="298"/>
      <c r="L31" s="298" t="s">
        <v>563</v>
      </c>
      <c r="M31" s="34"/>
      <c r="N31" s="34"/>
      <c r="O31" s="34"/>
      <c r="P31" s="34"/>
      <c r="Q31" s="34"/>
      <c r="R31" s="34"/>
      <c r="S31" s="34"/>
      <c r="T31" s="34"/>
      <c r="U31" s="34"/>
      <c r="V31" s="34"/>
      <c r="W31" s="34"/>
      <c r="X31" s="34"/>
      <c r="Y31" s="34"/>
      <c r="Z31" s="34"/>
      <c r="AA31" s="34"/>
      <c r="AB31" s="34"/>
      <c r="AC31" s="34"/>
    </row>
    <row r="32">
      <c r="A32" s="34"/>
      <c r="B32" s="294">
        <f t="shared" si="1"/>
        <v>17</v>
      </c>
      <c r="C32" s="300"/>
      <c r="D32" s="301" t="s">
        <v>564</v>
      </c>
      <c r="E32" s="303"/>
      <c r="F32" s="303"/>
      <c r="G32" s="303"/>
      <c r="H32" s="303" t="s">
        <v>540</v>
      </c>
      <c r="I32" s="303" t="s">
        <v>540</v>
      </c>
      <c r="J32" s="298"/>
      <c r="K32" s="298"/>
      <c r="L32" s="298" t="s">
        <v>544</v>
      </c>
      <c r="M32" s="34"/>
      <c r="N32" s="34"/>
      <c r="O32" s="34"/>
      <c r="P32" s="34"/>
      <c r="Q32" s="34"/>
      <c r="R32" s="34"/>
      <c r="S32" s="34"/>
      <c r="T32" s="34"/>
      <c r="U32" s="34"/>
      <c r="V32" s="34"/>
      <c r="W32" s="34"/>
      <c r="X32" s="34"/>
      <c r="Y32" s="34"/>
      <c r="Z32" s="34"/>
      <c r="AA32" s="34"/>
      <c r="AB32" s="34"/>
      <c r="AC32" s="34"/>
    </row>
    <row r="33">
      <c r="A33" s="34"/>
      <c r="B33" s="294">
        <f t="shared" si="1"/>
        <v>18</v>
      </c>
      <c r="C33" s="300"/>
      <c r="D33" s="301" t="s">
        <v>565</v>
      </c>
      <c r="E33" s="303"/>
      <c r="F33" s="303"/>
      <c r="G33" s="303"/>
      <c r="H33" s="303" t="s">
        <v>540</v>
      </c>
      <c r="I33" s="303" t="s">
        <v>540</v>
      </c>
      <c r="J33" s="298"/>
      <c r="K33" s="298"/>
      <c r="L33" s="298" t="s">
        <v>566</v>
      </c>
      <c r="M33" s="34"/>
      <c r="N33" s="34"/>
      <c r="O33" s="34"/>
      <c r="P33" s="34"/>
      <c r="Q33" s="34"/>
      <c r="R33" s="34"/>
      <c r="S33" s="34"/>
      <c r="T33" s="34"/>
      <c r="U33" s="34"/>
      <c r="V33" s="34"/>
      <c r="W33" s="34"/>
      <c r="X33" s="34"/>
      <c r="Y33" s="34"/>
      <c r="Z33" s="34"/>
      <c r="AA33" s="34"/>
      <c r="AB33" s="34"/>
      <c r="AC33" s="34"/>
    </row>
    <row r="34">
      <c r="A34" s="34"/>
      <c r="B34" s="294">
        <f t="shared" si="1"/>
        <v>19</v>
      </c>
      <c r="C34" s="300"/>
      <c r="D34" s="301" t="s">
        <v>567</v>
      </c>
      <c r="E34" s="303"/>
      <c r="F34" s="303"/>
      <c r="G34" s="303"/>
      <c r="H34" s="303" t="s">
        <v>540</v>
      </c>
      <c r="I34" s="303" t="s">
        <v>540</v>
      </c>
      <c r="J34" s="298"/>
      <c r="K34" s="298"/>
      <c r="L34" s="304" t="s">
        <v>568</v>
      </c>
      <c r="M34" s="34"/>
      <c r="N34" s="34"/>
      <c r="O34" s="34"/>
      <c r="P34" s="34"/>
      <c r="Q34" s="34"/>
      <c r="R34" s="34"/>
      <c r="S34" s="34"/>
      <c r="T34" s="34"/>
      <c r="U34" s="34"/>
      <c r="V34" s="34"/>
      <c r="W34" s="34"/>
      <c r="X34" s="34"/>
      <c r="Y34" s="34"/>
      <c r="Z34" s="34"/>
      <c r="AA34" s="34"/>
      <c r="AB34" s="34"/>
      <c r="AC34" s="34"/>
    </row>
    <row r="35">
      <c r="A35" s="34"/>
      <c r="B35" s="294">
        <f t="shared" si="1"/>
        <v>20</v>
      </c>
      <c r="C35" s="300"/>
      <c r="D35" s="301" t="s">
        <v>569</v>
      </c>
      <c r="E35" s="303"/>
      <c r="F35" s="303"/>
      <c r="G35" s="303"/>
      <c r="H35" s="303" t="s">
        <v>540</v>
      </c>
      <c r="I35" s="303" t="s">
        <v>540</v>
      </c>
      <c r="J35" s="298"/>
      <c r="K35" s="298"/>
      <c r="L35" s="298" t="s">
        <v>563</v>
      </c>
      <c r="M35" s="34"/>
      <c r="N35" s="34"/>
      <c r="O35" s="34"/>
      <c r="P35" s="34"/>
      <c r="Q35" s="34"/>
      <c r="R35" s="34"/>
      <c r="S35" s="34"/>
      <c r="T35" s="34"/>
      <c r="U35" s="34"/>
      <c r="V35" s="34"/>
      <c r="W35" s="34"/>
      <c r="X35" s="34"/>
      <c r="Y35" s="34"/>
      <c r="Z35" s="34"/>
      <c r="AA35" s="34"/>
      <c r="AB35" s="34"/>
      <c r="AC35" s="34"/>
    </row>
    <row r="36">
      <c r="A36" s="34"/>
      <c r="B36" s="294">
        <f t="shared" si="1"/>
        <v>21</v>
      </c>
      <c r="C36" s="300"/>
      <c r="D36" s="301" t="s">
        <v>570</v>
      </c>
      <c r="E36" s="305" t="s">
        <v>571</v>
      </c>
      <c r="F36" s="303"/>
      <c r="G36" s="303"/>
      <c r="H36" s="303" t="s">
        <v>540</v>
      </c>
      <c r="I36" s="303" t="s">
        <v>540</v>
      </c>
      <c r="J36" s="298"/>
      <c r="K36" s="298"/>
      <c r="L36" s="298" t="s">
        <v>547</v>
      </c>
      <c r="M36" s="34"/>
      <c r="N36" s="34"/>
      <c r="O36" s="34"/>
      <c r="P36" s="34"/>
      <c r="Q36" s="34"/>
      <c r="R36" s="34"/>
      <c r="S36" s="34"/>
      <c r="T36" s="34"/>
      <c r="U36" s="34"/>
      <c r="V36" s="34"/>
      <c r="W36" s="34"/>
      <c r="X36" s="34"/>
      <c r="Y36" s="34"/>
      <c r="Z36" s="34"/>
      <c r="AA36" s="34"/>
      <c r="AB36" s="34"/>
      <c r="AC36" s="34"/>
    </row>
    <row r="37">
      <c r="A37" s="34"/>
      <c r="B37" s="294">
        <f t="shared" si="1"/>
        <v>22</v>
      </c>
      <c r="C37" s="300"/>
      <c r="D37" s="301" t="s">
        <v>572</v>
      </c>
      <c r="E37" s="305"/>
      <c r="F37" s="303"/>
      <c r="G37" s="303"/>
      <c r="H37" s="303" t="s">
        <v>540</v>
      </c>
      <c r="I37" s="303" t="s">
        <v>540</v>
      </c>
      <c r="J37" s="298"/>
      <c r="K37" s="298"/>
      <c r="L37" s="298" t="s">
        <v>544</v>
      </c>
      <c r="M37" s="34"/>
      <c r="N37" s="34"/>
      <c r="O37" s="34"/>
      <c r="P37" s="34"/>
      <c r="Q37" s="34"/>
      <c r="R37" s="34"/>
      <c r="S37" s="34"/>
      <c r="T37" s="34"/>
      <c r="U37" s="34"/>
      <c r="V37" s="34"/>
      <c r="W37" s="34"/>
      <c r="X37" s="34"/>
      <c r="Y37" s="34"/>
      <c r="Z37" s="34"/>
      <c r="AA37" s="34"/>
      <c r="AB37" s="34"/>
      <c r="AC37" s="34"/>
    </row>
    <row r="38">
      <c r="A38" s="34"/>
      <c r="B38" s="294">
        <f t="shared" si="1"/>
        <v>23</v>
      </c>
      <c r="C38" s="302"/>
      <c r="D38" s="296" t="s">
        <v>549</v>
      </c>
      <c r="E38" s="297" t="s">
        <v>42</v>
      </c>
      <c r="F38" s="298"/>
      <c r="G38" s="298"/>
      <c r="H38" s="306"/>
      <c r="I38" s="306"/>
      <c r="J38" s="307"/>
      <c r="K38" s="307"/>
      <c r="L38" s="307"/>
      <c r="M38" s="34"/>
      <c r="N38" s="34"/>
      <c r="O38" s="34"/>
      <c r="P38" s="34"/>
      <c r="Q38" s="34"/>
      <c r="R38" s="34"/>
      <c r="S38" s="34"/>
      <c r="T38" s="34"/>
      <c r="U38" s="34"/>
      <c r="V38" s="34"/>
      <c r="W38" s="34"/>
      <c r="X38" s="34"/>
      <c r="Y38" s="34"/>
      <c r="Z38" s="34"/>
      <c r="AA38" s="34"/>
      <c r="AB38" s="34"/>
      <c r="AC38" s="34"/>
    </row>
    <row r="39">
      <c r="A39" s="34"/>
      <c r="B39" s="308"/>
      <c r="C39" s="30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573</v>
      </c>
      <c r="C40" s="30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10" t="s">
        <v>574</v>
      </c>
      <c r="C41" s="310" t="s">
        <v>356</v>
      </c>
      <c r="D41" s="310" t="s">
        <v>525</v>
      </c>
      <c r="E41" s="310"/>
      <c r="F41" s="310"/>
      <c r="G41" s="310" t="s">
        <v>575</v>
      </c>
      <c r="H41" s="310" t="s">
        <v>238</v>
      </c>
      <c r="I41" s="140"/>
      <c r="J41" s="34"/>
      <c r="K41" s="34"/>
      <c r="L41" s="34"/>
      <c r="M41" s="34"/>
      <c r="N41" s="34"/>
      <c r="O41" s="34"/>
      <c r="P41" s="34"/>
      <c r="Q41" s="34"/>
      <c r="R41" s="34"/>
      <c r="S41" s="34"/>
      <c r="T41" s="34"/>
      <c r="U41" s="34"/>
      <c r="V41" s="34"/>
      <c r="W41" s="34"/>
      <c r="X41" s="34"/>
      <c r="Y41" s="34"/>
      <c r="Z41" s="34"/>
      <c r="AA41" s="34"/>
      <c r="AB41" s="34"/>
      <c r="AC41" s="34"/>
    </row>
    <row r="42">
      <c r="A42" s="34"/>
      <c r="B42" s="311" t="s">
        <v>576</v>
      </c>
      <c r="C42" s="312" t="s">
        <v>517</v>
      </c>
      <c r="D42" s="312" t="s">
        <v>577</v>
      </c>
      <c r="E42" s="312"/>
      <c r="F42" s="312"/>
      <c r="G42" s="312" t="s">
        <v>578</v>
      </c>
      <c r="H42" s="312" t="s">
        <v>579</v>
      </c>
      <c r="I42" s="140"/>
      <c r="J42" s="34"/>
      <c r="K42" s="34"/>
      <c r="L42" s="34"/>
      <c r="M42" s="34"/>
      <c r="N42" s="34"/>
      <c r="O42" s="34"/>
      <c r="P42" s="34"/>
      <c r="Q42" s="34"/>
      <c r="R42" s="34"/>
      <c r="S42" s="34"/>
      <c r="T42" s="34"/>
      <c r="U42" s="34"/>
      <c r="V42" s="34"/>
      <c r="W42" s="34"/>
      <c r="X42" s="34"/>
      <c r="Y42" s="34"/>
      <c r="Z42" s="34"/>
      <c r="AA42" s="34"/>
      <c r="AB42" s="34"/>
      <c r="AC42" s="34"/>
    </row>
    <row r="43">
      <c r="A43" s="34"/>
      <c r="B43" s="300"/>
      <c r="C43" s="312" t="s">
        <v>580</v>
      </c>
      <c r="D43" s="312" t="s">
        <v>581</v>
      </c>
      <c r="E43" s="312"/>
      <c r="F43" s="312"/>
      <c r="G43" s="312" t="s">
        <v>582</v>
      </c>
      <c r="H43" s="312" t="s">
        <v>583</v>
      </c>
      <c r="I43" s="140"/>
      <c r="J43" s="34"/>
      <c r="K43" s="34"/>
      <c r="L43" s="34"/>
      <c r="M43" s="34"/>
      <c r="N43" s="34"/>
      <c r="O43" s="34"/>
      <c r="P43" s="34"/>
      <c r="Q43" s="34"/>
      <c r="R43" s="34"/>
      <c r="S43" s="34"/>
      <c r="T43" s="34"/>
      <c r="U43" s="34"/>
      <c r="V43" s="34"/>
      <c r="W43" s="34"/>
      <c r="X43" s="34"/>
      <c r="Y43" s="34"/>
      <c r="Z43" s="34"/>
      <c r="AA43" s="34"/>
      <c r="AB43" s="34"/>
      <c r="AC43" s="34"/>
    </row>
    <row r="44">
      <c r="A44" s="34"/>
      <c r="B44" s="300"/>
      <c r="C44" s="312" t="s">
        <v>584</v>
      </c>
      <c r="D44" s="312" t="s">
        <v>585</v>
      </c>
      <c r="E44" s="312"/>
      <c r="F44" s="312"/>
      <c r="G44" s="312" t="s">
        <v>586</v>
      </c>
      <c r="H44" s="312" t="s">
        <v>587</v>
      </c>
      <c r="I44" s="140"/>
      <c r="J44" s="34"/>
      <c r="K44" s="34"/>
      <c r="L44" s="34"/>
      <c r="M44" s="34"/>
      <c r="N44" s="34"/>
      <c r="O44" s="34"/>
      <c r="P44" s="34"/>
      <c r="Q44" s="34"/>
      <c r="R44" s="34"/>
      <c r="S44" s="34"/>
      <c r="T44" s="34"/>
      <c r="U44" s="34"/>
      <c r="V44" s="34"/>
      <c r="W44" s="34"/>
      <c r="X44" s="34"/>
      <c r="Y44" s="34"/>
      <c r="Z44" s="34"/>
      <c r="AA44" s="34"/>
      <c r="AB44" s="34"/>
      <c r="AC44" s="34"/>
    </row>
    <row r="45">
      <c r="A45" s="34"/>
      <c r="B45" s="302"/>
      <c r="C45" s="312" t="s">
        <v>588</v>
      </c>
      <c r="D45" s="312" t="s">
        <v>589</v>
      </c>
      <c r="E45" s="312"/>
      <c r="F45" s="312"/>
      <c r="G45" s="312" t="s">
        <v>590</v>
      </c>
      <c r="H45" s="312" t="s">
        <v>591</v>
      </c>
      <c r="I45" s="140"/>
      <c r="J45" s="34"/>
      <c r="K45" s="34"/>
      <c r="L45" s="34"/>
      <c r="M45" s="34"/>
      <c r="N45" s="34"/>
      <c r="O45" s="34"/>
      <c r="P45" s="34"/>
      <c r="Q45" s="34"/>
      <c r="R45" s="34"/>
      <c r="S45" s="34"/>
      <c r="T45" s="34"/>
      <c r="U45" s="34"/>
      <c r="V45" s="34"/>
      <c r="W45" s="34"/>
      <c r="X45" s="34"/>
      <c r="Y45" s="34"/>
      <c r="Z45" s="34"/>
      <c r="AA45" s="34"/>
      <c r="AB45" s="34"/>
      <c r="AC45" s="34"/>
    </row>
    <row r="46">
      <c r="A46" s="34"/>
      <c r="B46" s="311" t="s">
        <v>592</v>
      </c>
      <c r="C46" s="312" t="s">
        <v>593</v>
      </c>
      <c r="D46" s="312" t="s">
        <v>594</v>
      </c>
      <c r="E46" s="312"/>
      <c r="F46" s="312"/>
      <c r="G46" s="312" t="s">
        <v>595</v>
      </c>
      <c r="H46" s="313"/>
      <c r="I46" s="34"/>
      <c r="J46" s="34"/>
      <c r="K46" s="34"/>
      <c r="L46" s="34"/>
      <c r="M46" s="34"/>
      <c r="N46" s="34"/>
      <c r="O46" s="34"/>
      <c r="P46" s="34"/>
      <c r="Q46" s="34"/>
      <c r="R46" s="34"/>
      <c r="S46" s="34"/>
      <c r="T46" s="34"/>
      <c r="U46" s="34"/>
      <c r="V46" s="34"/>
      <c r="W46" s="34"/>
      <c r="X46" s="34"/>
      <c r="Y46" s="34"/>
      <c r="Z46" s="34"/>
      <c r="AA46" s="34"/>
      <c r="AB46" s="34"/>
      <c r="AC46" s="34"/>
    </row>
    <row r="47">
      <c r="A47" s="34"/>
      <c r="B47" s="300"/>
      <c r="C47" s="312" t="s">
        <v>596</v>
      </c>
      <c r="D47" s="312" t="s">
        <v>597</v>
      </c>
      <c r="E47" s="312"/>
      <c r="F47" s="312"/>
      <c r="G47" s="312" t="s">
        <v>598</v>
      </c>
      <c r="H47" s="312" t="s">
        <v>599</v>
      </c>
      <c r="I47" s="140"/>
      <c r="J47" s="34"/>
      <c r="K47" s="34"/>
      <c r="L47" s="34"/>
      <c r="M47" s="34"/>
      <c r="N47" s="34"/>
      <c r="O47" s="34"/>
      <c r="P47" s="34"/>
      <c r="Q47" s="34"/>
      <c r="R47" s="34"/>
      <c r="S47" s="34"/>
      <c r="T47" s="34"/>
      <c r="U47" s="34"/>
      <c r="V47" s="34"/>
      <c r="W47" s="34"/>
      <c r="X47" s="34"/>
      <c r="Y47" s="34"/>
      <c r="Z47" s="34"/>
      <c r="AA47" s="34"/>
      <c r="AB47" s="34"/>
      <c r="AC47" s="34"/>
    </row>
    <row r="48">
      <c r="A48" s="34"/>
      <c r="B48" s="302"/>
      <c r="C48" s="312" t="s">
        <v>600</v>
      </c>
      <c r="D48" s="312" t="s">
        <v>601</v>
      </c>
      <c r="E48" s="312"/>
      <c r="F48" s="312"/>
      <c r="G48" s="312" t="s">
        <v>602</v>
      </c>
      <c r="H48" s="312" t="s">
        <v>603</v>
      </c>
      <c r="I48" s="140"/>
      <c r="J48" s="34"/>
      <c r="K48" s="34"/>
      <c r="L48" s="34"/>
      <c r="M48" s="34"/>
      <c r="N48" s="34"/>
      <c r="O48" s="34"/>
      <c r="P48" s="34"/>
      <c r="Q48" s="34"/>
      <c r="R48" s="34"/>
      <c r="S48" s="34"/>
      <c r="T48" s="34"/>
      <c r="U48" s="34"/>
      <c r="V48" s="34"/>
      <c r="W48" s="34"/>
      <c r="X48" s="34"/>
      <c r="Y48" s="34"/>
      <c r="Z48" s="34"/>
      <c r="AA48" s="34"/>
      <c r="AB48" s="34"/>
      <c r="AC48" s="34"/>
    </row>
    <row r="49">
      <c r="A49" s="34"/>
      <c r="B49" s="308"/>
      <c r="C49" s="30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08"/>
      <c r="C50" s="30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48"/>
      <c r="C51" s="249"/>
    </row>
    <row r="52">
      <c r="B52" s="248"/>
    </row>
    <row r="61">
      <c r="B61" s="248"/>
      <c r="C61" s="249"/>
    </row>
    <row r="62">
      <c r="B62" s="248"/>
      <c r="C62" s="249"/>
    </row>
    <row r="63">
      <c r="B63" s="248"/>
      <c r="C63" s="249"/>
    </row>
    <row r="64">
      <c r="B64" s="248"/>
      <c r="C64" s="249"/>
    </row>
    <row r="65">
      <c r="B65" s="248"/>
      <c r="C65" s="249"/>
    </row>
    <row r="66">
      <c r="B66" s="248"/>
      <c r="C66" s="249"/>
    </row>
    <row r="67">
      <c r="B67" s="248"/>
      <c r="C67" s="249"/>
    </row>
    <row r="68">
      <c r="B68" s="248"/>
      <c r="C68" s="249"/>
    </row>
    <row r="69">
      <c r="B69" s="248"/>
      <c r="C69" s="249"/>
    </row>
    <row r="70">
      <c r="B70" s="248"/>
      <c r="C70" s="249"/>
    </row>
    <row r="71">
      <c r="B71" s="248"/>
      <c r="C71" s="249"/>
    </row>
    <row r="72">
      <c r="B72" s="248"/>
      <c r="C72" s="249"/>
    </row>
    <row r="73">
      <c r="B73" s="248"/>
      <c r="C73" s="249"/>
    </row>
    <row r="74">
      <c r="B74" s="248"/>
      <c r="C74" s="249"/>
    </row>
    <row r="75">
      <c r="B75" s="248"/>
      <c r="C75" s="249"/>
    </row>
    <row r="76">
      <c r="B76" s="248"/>
      <c r="C76" s="249"/>
    </row>
    <row r="77">
      <c r="B77" s="248"/>
      <c r="C77" s="249"/>
    </row>
    <row r="78">
      <c r="B78" s="248"/>
      <c r="C78" s="249"/>
    </row>
    <row r="79">
      <c r="B79" s="248"/>
      <c r="C79" s="249"/>
    </row>
    <row r="80">
      <c r="B80" s="248"/>
      <c r="C80" s="249"/>
    </row>
    <row r="81">
      <c r="B81" s="248"/>
      <c r="C81" s="249"/>
    </row>
    <row r="82">
      <c r="B82" s="248"/>
      <c r="C82" s="249"/>
    </row>
    <row r="83">
      <c r="B83" s="248"/>
      <c r="C83" s="249"/>
    </row>
    <row r="84">
      <c r="B84" s="248"/>
      <c r="C84" s="249"/>
    </row>
    <row r="85">
      <c r="B85" s="248"/>
      <c r="C85" s="249"/>
    </row>
    <row r="86">
      <c r="B86" s="248"/>
      <c r="C86" s="249"/>
    </row>
    <row r="87">
      <c r="B87" s="248"/>
      <c r="C87" s="249"/>
    </row>
    <row r="88">
      <c r="B88" s="248"/>
      <c r="C88" s="249"/>
    </row>
    <row r="89">
      <c r="B89" s="248"/>
      <c r="C89" s="249"/>
    </row>
    <row r="90">
      <c r="B90" s="248"/>
      <c r="C90" s="249"/>
    </row>
    <row r="91">
      <c r="B91" s="248"/>
      <c r="C91" s="249"/>
    </row>
    <row r="92">
      <c r="B92" s="248"/>
      <c r="C92" s="249"/>
    </row>
    <row r="93">
      <c r="B93" s="248"/>
      <c r="C93" s="249"/>
    </row>
    <row r="94">
      <c r="B94" s="248"/>
      <c r="C94" s="249"/>
    </row>
    <row r="95">
      <c r="B95" s="248"/>
      <c r="C95" s="249"/>
    </row>
    <row r="96">
      <c r="B96" s="248"/>
      <c r="C96" s="249"/>
    </row>
    <row r="97">
      <c r="B97" s="248"/>
      <c r="C97" s="249"/>
    </row>
    <row r="98">
      <c r="B98" s="248"/>
      <c r="C98" s="249"/>
    </row>
    <row r="99">
      <c r="B99" s="248"/>
      <c r="C99" s="249"/>
    </row>
    <row r="100">
      <c r="B100" s="248"/>
      <c r="C100" s="249"/>
    </row>
    <row r="101">
      <c r="B101" s="248"/>
      <c r="C101" s="249"/>
    </row>
    <row r="102">
      <c r="B102" s="248"/>
      <c r="C102" s="249"/>
    </row>
    <row r="103">
      <c r="B103" s="248"/>
      <c r="C103" s="249"/>
    </row>
    <row r="104">
      <c r="B104" s="248"/>
      <c r="C104" s="249"/>
    </row>
    <row r="105">
      <c r="B105" s="248"/>
      <c r="C105" s="249"/>
    </row>
    <row r="106">
      <c r="B106" s="248"/>
      <c r="C106" s="249"/>
    </row>
    <row r="107">
      <c r="B107" s="248"/>
      <c r="C107" s="249"/>
    </row>
    <row r="108">
      <c r="B108" s="248"/>
      <c r="C108" s="249"/>
    </row>
    <row r="109">
      <c r="B109" s="248"/>
      <c r="C109" s="249"/>
    </row>
    <row r="110">
      <c r="B110" s="248"/>
      <c r="C110" s="249"/>
    </row>
    <row r="111">
      <c r="B111" s="248"/>
      <c r="C111" s="249"/>
    </row>
    <row r="112">
      <c r="B112" s="248"/>
      <c r="C112" s="249"/>
    </row>
    <row r="113">
      <c r="B113" s="248"/>
      <c r="C113" s="249"/>
    </row>
    <row r="114">
      <c r="B114" s="248"/>
      <c r="C114" s="249"/>
    </row>
    <row r="115">
      <c r="B115" s="248"/>
      <c r="C115" s="249"/>
    </row>
    <row r="116">
      <c r="B116" s="248"/>
      <c r="C116" s="249"/>
    </row>
    <row r="117">
      <c r="B117" s="248"/>
      <c r="C117" s="249"/>
    </row>
    <row r="118">
      <c r="B118" s="248"/>
      <c r="C118" s="249"/>
    </row>
    <row r="119">
      <c r="B119" s="248"/>
      <c r="C119" s="249"/>
    </row>
    <row r="120">
      <c r="B120" s="248"/>
      <c r="C120" s="249"/>
    </row>
    <row r="121">
      <c r="B121" s="248"/>
      <c r="C121" s="249"/>
    </row>
    <row r="122">
      <c r="B122" s="248"/>
      <c r="C122" s="249"/>
    </row>
    <row r="123">
      <c r="B123" s="248"/>
      <c r="C123" s="249"/>
    </row>
    <row r="124">
      <c r="B124" s="248"/>
      <c r="C124" s="249"/>
    </row>
    <row r="125">
      <c r="B125" s="248"/>
      <c r="C125" s="249"/>
    </row>
    <row r="126">
      <c r="B126" s="248"/>
      <c r="C126" s="249"/>
    </row>
    <row r="127">
      <c r="B127" s="248"/>
      <c r="C127" s="249"/>
    </row>
    <row r="128">
      <c r="B128" s="248"/>
      <c r="C128" s="249"/>
    </row>
    <row r="129">
      <c r="B129" s="248"/>
      <c r="C129" s="249"/>
    </row>
    <row r="130">
      <c r="B130" s="248"/>
      <c r="C130" s="249"/>
    </row>
    <row r="131">
      <c r="B131" s="248"/>
      <c r="C131" s="249"/>
    </row>
    <row r="132">
      <c r="B132" s="248"/>
      <c r="C132" s="249"/>
    </row>
    <row r="133">
      <c r="B133" s="248"/>
      <c r="C133" s="249"/>
    </row>
    <row r="134">
      <c r="B134" s="248"/>
      <c r="C134" s="249"/>
    </row>
    <row r="135">
      <c r="B135" s="248"/>
      <c r="C135" s="249"/>
    </row>
    <row r="136">
      <c r="B136" s="248"/>
      <c r="C136" s="249"/>
    </row>
    <row r="137">
      <c r="B137" s="248"/>
      <c r="C137" s="249"/>
    </row>
    <row r="138">
      <c r="B138" s="248"/>
      <c r="C138" s="249"/>
    </row>
    <row r="139">
      <c r="B139" s="248"/>
      <c r="C139" s="249"/>
    </row>
    <row r="140">
      <c r="B140" s="248"/>
      <c r="C140" s="249"/>
    </row>
    <row r="141">
      <c r="B141" s="248"/>
      <c r="C141" s="249"/>
    </row>
    <row r="142">
      <c r="B142" s="248"/>
      <c r="C142" s="249"/>
    </row>
    <row r="143">
      <c r="B143" s="248"/>
      <c r="C143" s="249"/>
    </row>
    <row r="144">
      <c r="B144" s="248"/>
      <c r="C144" s="249"/>
    </row>
    <row r="145">
      <c r="B145" s="248"/>
      <c r="C145" s="249"/>
    </row>
    <row r="146">
      <c r="B146" s="248"/>
      <c r="C146" s="249"/>
    </row>
    <row r="147">
      <c r="B147" s="248"/>
      <c r="C147" s="249"/>
    </row>
    <row r="148">
      <c r="B148" s="248"/>
      <c r="C148" s="249"/>
    </row>
    <row r="149">
      <c r="B149" s="248"/>
      <c r="C149" s="249"/>
    </row>
    <row r="150">
      <c r="B150" s="248"/>
      <c r="C150" s="249"/>
    </row>
    <row r="151">
      <c r="B151" s="248"/>
      <c r="C151" s="249"/>
    </row>
    <row r="152">
      <c r="B152" s="248"/>
      <c r="C152" s="249"/>
    </row>
    <row r="153">
      <c r="B153" s="248"/>
      <c r="C153" s="249"/>
    </row>
    <row r="154">
      <c r="B154" s="248"/>
      <c r="C154" s="249"/>
    </row>
    <row r="155">
      <c r="B155" s="248"/>
      <c r="C155" s="249"/>
    </row>
    <row r="156">
      <c r="B156" s="248"/>
      <c r="C156" s="249"/>
    </row>
    <row r="157">
      <c r="B157" s="248"/>
      <c r="C157" s="249"/>
    </row>
    <row r="158">
      <c r="B158" s="248"/>
      <c r="C158" s="249"/>
    </row>
    <row r="159">
      <c r="B159" s="248"/>
      <c r="C159" s="249"/>
    </row>
    <row r="160">
      <c r="B160" s="248"/>
      <c r="C160" s="249"/>
    </row>
    <row r="161">
      <c r="B161" s="248"/>
      <c r="C161" s="249"/>
    </row>
    <row r="162">
      <c r="B162" s="248"/>
      <c r="C162" s="249"/>
    </row>
    <row r="163">
      <c r="B163" s="248"/>
      <c r="C163" s="249"/>
    </row>
    <row r="164">
      <c r="B164" s="248"/>
      <c r="C164" s="249"/>
    </row>
    <row r="165">
      <c r="B165" s="248"/>
      <c r="C165" s="249"/>
    </row>
    <row r="166">
      <c r="B166" s="248"/>
      <c r="C166" s="249"/>
    </row>
    <row r="167">
      <c r="B167" s="248"/>
      <c r="C167" s="249"/>
    </row>
    <row r="168">
      <c r="B168" s="248"/>
      <c r="C168" s="249"/>
    </row>
    <row r="169">
      <c r="B169" s="248"/>
      <c r="C169" s="249"/>
    </row>
    <row r="170">
      <c r="B170" s="248"/>
      <c r="C170" s="249"/>
    </row>
    <row r="171">
      <c r="B171" s="248"/>
      <c r="C171" s="249"/>
    </row>
    <row r="172">
      <c r="B172" s="248"/>
      <c r="C172" s="249"/>
    </row>
    <row r="173">
      <c r="B173" s="248"/>
      <c r="C173" s="249"/>
    </row>
    <row r="174">
      <c r="B174" s="248"/>
      <c r="C174" s="249"/>
    </row>
    <row r="175">
      <c r="B175" s="248"/>
      <c r="C175" s="249"/>
    </row>
    <row r="176">
      <c r="B176" s="248"/>
      <c r="C176" s="249"/>
    </row>
    <row r="177">
      <c r="B177" s="248"/>
      <c r="C177" s="249"/>
    </row>
    <row r="178">
      <c r="B178" s="248"/>
      <c r="C178" s="249"/>
    </row>
    <row r="179">
      <c r="B179" s="248"/>
      <c r="C179" s="249"/>
    </row>
    <row r="180">
      <c r="B180" s="248"/>
      <c r="C180" s="249"/>
    </row>
    <row r="181">
      <c r="B181" s="248"/>
      <c r="C181" s="249"/>
    </row>
    <row r="182">
      <c r="B182" s="248"/>
      <c r="C182" s="249"/>
    </row>
    <row r="183">
      <c r="B183" s="248"/>
      <c r="C183" s="249"/>
    </row>
    <row r="184">
      <c r="B184" s="248"/>
      <c r="C184" s="249"/>
    </row>
    <row r="185">
      <c r="B185" s="248"/>
      <c r="C185" s="249"/>
    </row>
    <row r="186">
      <c r="B186" s="248"/>
      <c r="C186" s="249"/>
    </row>
    <row r="187">
      <c r="B187" s="248"/>
      <c r="C187" s="249"/>
    </row>
    <row r="188">
      <c r="B188" s="248"/>
      <c r="C188" s="249"/>
    </row>
    <row r="189">
      <c r="B189" s="248"/>
      <c r="C189" s="249"/>
    </row>
    <row r="190">
      <c r="B190" s="248"/>
      <c r="C190" s="249"/>
    </row>
    <row r="191">
      <c r="B191" s="248"/>
      <c r="C191" s="249"/>
    </row>
    <row r="192">
      <c r="B192" s="248"/>
      <c r="C192" s="249"/>
    </row>
    <row r="193">
      <c r="B193" s="248"/>
      <c r="C193" s="249"/>
    </row>
    <row r="194">
      <c r="B194" s="248"/>
      <c r="C194" s="249"/>
    </row>
    <row r="195">
      <c r="B195" s="248"/>
      <c r="C195" s="249"/>
    </row>
    <row r="196">
      <c r="B196" s="248"/>
      <c r="C196" s="249"/>
    </row>
    <row r="197">
      <c r="B197" s="248"/>
      <c r="C197" s="249"/>
    </row>
    <row r="198">
      <c r="B198" s="248"/>
      <c r="C198" s="249"/>
    </row>
    <row r="199">
      <c r="B199" s="248"/>
      <c r="C199" s="249"/>
    </row>
    <row r="200">
      <c r="B200" s="248"/>
      <c r="C200" s="249"/>
    </row>
    <row r="201">
      <c r="B201" s="248"/>
      <c r="C201" s="249"/>
    </row>
    <row r="202">
      <c r="B202" s="248"/>
      <c r="C202" s="249"/>
    </row>
    <row r="203">
      <c r="B203" s="248"/>
      <c r="C203" s="249"/>
    </row>
    <row r="204">
      <c r="B204" s="248"/>
      <c r="C204" s="249"/>
    </row>
    <row r="205">
      <c r="B205" s="248"/>
      <c r="C205" s="249"/>
    </row>
    <row r="206">
      <c r="B206" s="248"/>
      <c r="C206" s="249"/>
    </row>
    <row r="207">
      <c r="B207" s="248"/>
      <c r="C207" s="249"/>
    </row>
    <row r="208">
      <c r="B208" s="248"/>
      <c r="C208" s="249"/>
    </row>
    <row r="209">
      <c r="B209" s="248"/>
      <c r="C209" s="249"/>
    </row>
    <row r="210">
      <c r="B210" s="248"/>
      <c r="C210" s="249"/>
    </row>
    <row r="211">
      <c r="B211" s="248"/>
      <c r="C211" s="249"/>
    </row>
    <row r="212">
      <c r="B212" s="248"/>
      <c r="C212" s="249"/>
    </row>
    <row r="213">
      <c r="B213" s="248"/>
      <c r="C213" s="249"/>
    </row>
    <row r="214">
      <c r="B214" s="248"/>
      <c r="C214" s="249"/>
    </row>
    <row r="215">
      <c r="B215" s="248"/>
      <c r="C215" s="249"/>
    </row>
    <row r="216">
      <c r="B216" s="248"/>
      <c r="C216" s="249"/>
    </row>
    <row r="217">
      <c r="B217" s="248"/>
      <c r="C217" s="249"/>
    </row>
    <row r="218">
      <c r="B218" s="248"/>
      <c r="C218" s="249"/>
    </row>
    <row r="219">
      <c r="B219" s="248"/>
      <c r="C219" s="249"/>
    </row>
    <row r="220">
      <c r="B220" s="248"/>
      <c r="C220" s="249"/>
    </row>
    <row r="221">
      <c r="B221" s="248"/>
      <c r="C221" s="249"/>
    </row>
    <row r="222">
      <c r="B222" s="248"/>
      <c r="C222" s="249"/>
    </row>
    <row r="223">
      <c r="B223" s="248"/>
      <c r="C223" s="249"/>
    </row>
    <row r="224">
      <c r="B224" s="248"/>
      <c r="C224" s="249"/>
    </row>
    <row r="225">
      <c r="B225" s="248"/>
      <c r="C225" s="249"/>
    </row>
    <row r="226">
      <c r="B226" s="248"/>
      <c r="C226" s="249"/>
    </row>
    <row r="227">
      <c r="B227" s="248"/>
      <c r="C227" s="249"/>
    </row>
    <row r="228">
      <c r="B228" s="248"/>
      <c r="C228" s="249"/>
    </row>
    <row r="229">
      <c r="B229" s="248"/>
      <c r="C229" s="249"/>
    </row>
    <row r="230">
      <c r="B230" s="248"/>
      <c r="C230" s="249"/>
    </row>
    <row r="231">
      <c r="B231" s="248"/>
      <c r="C231" s="249"/>
    </row>
    <row r="232">
      <c r="B232" s="248"/>
      <c r="C232" s="249"/>
    </row>
    <row r="233">
      <c r="B233" s="248"/>
      <c r="C233" s="249"/>
    </row>
    <row r="234">
      <c r="B234" s="248"/>
      <c r="C234" s="249"/>
    </row>
    <row r="235">
      <c r="B235" s="248"/>
      <c r="C235" s="249"/>
    </row>
    <row r="236">
      <c r="B236" s="248"/>
      <c r="C236" s="249"/>
    </row>
    <row r="237">
      <c r="B237" s="248"/>
      <c r="C237" s="249"/>
    </row>
    <row r="238">
      <c r="B238" s="248"/>
      <c r="C238" s="249"/>
    </row>
    <row r="239">
      <c r="B239" s="248"/>
      <c r="C239" s="249"/>
    </row>
    <row r="240">
      <c r="B240" s="248"/>
      <c r="C240" s="249"/>
    </row>
    <row r="241">
      <c r="B241" s="248"/>
      <c r="C241" s="249"/>
    </row>
    <row r="242">
      <c r="B242" s="248"/>
      <c r="C242" s="249"/>
    </row>
    <row r="243">
      <c r="B243" s="248"/>
      <c r="C243" s="249"/>
    </row>
    <row r="244">
      <c r="B244" s="248"/>
      <c r="C244" s="249"/>
    </row>
    <row r="245">
      <c r="B245" s="248"/>
      <c r="C245" s="249"/>
    </row>
    <row r="246">
      <c r="B246" s="248"/>
      <c r="C246" s="249"/>
    </row>
    <row r="247">
      <c r="B247" s="248"/>
      <c r="C247" s="249"/>
    </row>
    <row r="248">
      <c r="B248" s="248"/>
      <c r="C248" s="249"/>
    </row>
    <row r="249">
      <c r="B249" s="248"/>
      <c r="C249" s="249"/>
    </row>
    <row r="250">
      <c r="B250" s="248"/>
      <c r="C250" s="249"/>
    </row>
    <row r="251">
      <c r="B251" s="248"/>
      <c r="C251" s="249"/>
    </row>
    <row r="252">
      <c r="B252" s="248"/>
      <c r="C252" s="249"/>
    </row>
    <row r="253">
      <c r="B253" s="248"/>
      <c r="C253" s="249"/>
    </row>
    <row r="254">
      <c r="B254" s="248"/>
      <c r="C254" s="249"/>
    </row>
    <row r="255">
      <c r="B255" s="248"/>
      <c r="C255" s="249"/>
    </row>
    <row r="256">
      <c r="B256" s="248"/>
      <c r="C256" s="249"/>
    </row>
    <row r="257">
      <c r="B257" s="248"/>
      <c r="C257" s="249"/>
    </row>
    <row r="258">
      <c r="B258" s="248"/>
      <c r="C258" s="249"/>
    </row>
    <row r="259">
      <c r="B259" s="248"/>
      <c r="C259" s="249"/>
    </row>
    <row r="260">
      <c r="B260" s="248"/>
      <c r="C260" s="249"/>
    </row>
    <row r="261">
      <c r="B261" s="248"/>
      <c r="C261" s="249"/>
    </row>
    <row r="262">
      <c r="B262" s="248"/>
      <c r="C262" s="249"/>
    </row>
    <row r="263">
      <c r="B263" s="248"/>
      <c r="C263" s="249"/>
    </row>
    <row r="264">
      <c r="B264" s="248"/>
      <c r="C264" s="249"/>
    </row>
    <row r="265">
      <c r="B265" s="248"/>
      <c r="C265" s="249"/>
    </row>
    <row r="266">
      <c r="B266" s="248"/>
      <c r="C266" s="249"/>
    </row>
    <row r="267">
      <c r="B267" s="248"/>
      <c r="C267" s="249"/>
    </row>
    <row r="268">
      <c r="B268" s="248"/>
      <c r="C268" s="249"/>
    </row>
    <row r="269">
      <c r="B269" s="248"/>
      <c r="C269" s="249"/>
    </row>
    <row r="270">
      <c r="B270" s="248"/>
      <c r="C270" s="249"/>
    </row>
    <row r="271">
      <c r="B271" s="248"/>
      <c r="C271" s="249"/>
    </row>
    <row r="272">
      <c r="B272" s="248"/>
      <c r="C272" s="249"/>
    </row>
    <row r="273">
      <c r="B273" s="248"/>
      <c r="C273" s="249"/>
    </row>
    <row r="274">
      <c r="B274" s="248"/>
      <c r="C274" s="249"/>
    </row>
    <row r="275">
      <c r="B275" s="248"/>
      <c r="C275" s="249"/>
    </row>
    <row r="276">
      <c r="B276" s="248"/>
      <c r="C276" s="249"/>
    </row>
    <row r="277">
      <c r="B277" s="248"/>
      <c r="C277" s="249"/>
    </row>
    <row r="278">
      <c r="B278" s="248"/>
      <c r="C278" s="249"/>
    </row>
    <row r="279">
      <c r="B279" s="248"/>
      <c r="C279" s="249"/>
    </row>
    <row r="280">
      <c r="B280" s="248"/>
      <c r="C280" s="249"/>
    </row>
    <row r="281">
      <c r="B281" s="248"/>
      <c r="C281" s="249"/>
    </row>
    <row r="282">
      <c r="B282" s="248"/>
      <c r="C282" s="249"/>
    </row>
    <row r="283">
      <c r="B283" s="248"/>
      <c r="C283" s="249"/>
    </row>
    <row r="284">
      <c r="B284" s="248"/>
      <c r="C284" s="249"/>
    </row>
    <row r="285">
      <c r="B285" s="248"/>
      <c r="C285" s="249"/>
    </row>
    <row r="286">
      <c r="B286" s="248"/>
      <c r="C286" s="249"/>
    </row>
    <row r="287">
      <c r="B287" s="248"/>
      <c r="C287" s="249"/>
    </row>
    <row r="288">
      <c r="B288" s="248"/>
      <c r="C288" s="249"/>
    </row>
    <row r="289">
      <c r="B289" s="248"/>
      <c r="C289" s="249"/>
    </row>
    <row r="290">
      <c r="B290" s="248"/>
      <c r="C290" s="249"/>
    </row>
    <row r="291">
      <c r="B291" s="248"/>
      <c r="C291" s="249"/>
    </row>
    <row r="292">
      <c r="B292" s="248"/>
      <c r="C292" s="249"/>
    </row>
    <row r="293">
      <c r="B293" s="248"/>
      <c r="C293" s="249"/>
    </row>
    <row r="294">
      <c r="B294" s="248"/>
      <c r="C294" s="249"/>
    </row>
    <row r="295">
      <c r="B295" s="248"/>
      <c r="C295" s="249"/>
    </row>
    <row r="296">
      <c r="B296" s="248"/>
      <c r="C296" s="249"/>
    </row>
    <row r="297">
      <c r="B297" s="248"/>
      <c r="C297" s="249"/>
    </row>
    <row r="298">
      <c r="B298" s="248"/>
      <c r="C298" s="249"/>
    </row>
    <row r="299">
      <c r="B299" s="248"/>
      <c r="C299" s="249"/>
    </row>
    <row r="300">
      <c r="B300" s="248"/>
      <c r="C300" s="249"/>
    </row>
    <row r="301">
      <c r="B301" s="248"/>
      <c r="C301" s="249"/>
    </row>
    <row r="302">
      <c r="B302" s="248"/>
      <c r="C302" s="249"/>
    </row>
    <row r="303">
      <c r="B303" s="248"/>
      <c r="C303" s="249"/>
    </row>
    <row r="304">
      <c r="B304" s="248"/>
      <c r="C304" s="249"/>
    </row>
    <row r="305">
      <c r="B305" s="248"/>
      <c r="C305" s="249"/>
    </row>
    <row r="306">
      <c r="B306" s="248"/>
      <c r="C306" s="249"/>
    </row>
    <row r="307">
      <c r="B307" s="248"/>
      <c r="C307" s="249"/>
    </row>
    <row r="308">
      <c r="B308" s="248"/>
      <c r="C308" s="249"/>
    </row>
    <row r="309">
      <c r="B309" s="248"/>
      <c r="C309" s="249"/>
    </row>
    <row r="310">
      <c r="B310" s="248"/>
      <c r="C310" s="249"/>
    </row>
    <row r="311">
      <c r="B311" s="248"/>
      <c r="C311" s="249"/>
    </row>
    <row r="312">
      <c r="B312" s="248"/>
      <c r="C312" s="249"/>
    </row>
    <row r="313">
      <c r="B313" s="248"/>
      <c r="C313" s="249"/>
    </row>
    <row r="314">
      <c r="B314" s="248"/>
      <c r="C314" s="249"/>
    </row>
    <row r="315">
      <c r="B315" s="248"/>
      <c r="C315" s="249"/>
    </row>
    <row r="316">
      <c r="B316" s="248"/>
      <c r="C316" s="249"/>
    </row>
    <row r="317">
      <c r="B317" s="248"/>
      <c r="C317" s="249"/>
    </row>
    <row r="318">
      <c r="B318" s="248"/>
      <c r="C318" s="249"/>
    </row>
    <row r="319">
      <c r="B319" s="248"/>
      <c r="C319" s="249"/>
    </row>
    <row r="320">
      <c r="B320" s="248"/>
      <c r="C320" s="249"/>
    </row>
    <row r="321">
      <c r="B321" s="248"/>
      <c r="C321" s="249"/>
    </row>
    <row r="322">
      <c r="B322" s="248"/>
      <c r="C322" s="249"/>
    </row>
    <row r="323">
      <c r="B323" s="248"/>
      <c r="C323" s="249"/>
    </row>
    <row r="324">
      <c r="B324" s="248"/>
      <c r="C324" s="249"/>
    </row>
    <row r="325">
      <c r="B325" s="248"/>
      <c r="C325" s="249"/>
    </row>
    <row r="326">
      <c r="B326" s="248"/>
      <c r="C326" s="249"/>
    </row>
    <row r="327">
      <c r="B327" s="248"/>
      <c r="C327" s="249"/>
    </row>
    <row r="328">
      <c r="B328" s="248"/>
      <c r="C328" s="249"/>
    </row>
    <row r="329">
      <c r="B329" s="248"/>
      <c r="C329" s="249"/>
    </row>
    <row r="330">
      <c r="B330" s="248"/>
      <c r="C330" s="249"/>
    </row>
    <row r="331">
      <c r="B331" s="248"/>
      <c r="C331" s="249"/>
    </row>
    <row r="332">
      <c r="B332" s="248"/>
      <c r="C332" s="249"/>
    </row>
    <row r="333">
      <c r="B333" s="248"/>
      <c r="C333" s="249"/>
    </row>
    <row r="334">
      <c r="B334" s="248"/>
      <c r="C334" s="249"/>
    </row>
    <row r="335">
      <c r="B335" s="248"/>
      <c r="C335" s="249"/>
    </row>
    <row r="336">
      <c r="B336" s="248"/>
      <c r="C336" s="249"/>
    </row>
    <row r="337">
      <c r="B337" s="248"/>
      <c r="C337" s="249"/>
    </row>
    <row r="338">
      <c r="B338" s="248"/>
      <c r="C338" s="249"/>
    </row>
    <row r="339">
      <c r="B339" s="248"/>
      <c r="C339" s="249"/>
    </row>
    <row r="340">
      <c r="B340" s="248"/>
      <c r="C340" s="249"/>
    </row>
    <row r="341">
      <c r="B341" s="248"/>
      <c r="C341" s="249"/>
    </row>
    <row r="342">
      <c r="B342" s="248"/>
      <c r="C342" s="249"/>
    </row>
    <row r="343">
      <c r="B343" s="248"/>
      <c r="C343" s="249"/>
    </row>
    <row r="344">
      <c r="B344" s="248"/>
      <c r="C344" s="249"/>
    </row>
    <row r="345">
      <c r="B345" s="248"/>
      <c r="C345" s="249"/>
    </row>
    <row r="346">
      <c r="B346" s="248"/>
      <c r="C346" s="249"/>
    </row>
    <row r="347">
      <c r="B347" s="248"/>
      <c r="C347" s="249"/>
    </row>
    <row r="348">
      <c r="B348" s="248"/>
      <c r="C348" s="249"/>
    </row>
    <row r="349">
      <c r="B349" s="248"/>
      <c r="C349" s="249"/>
    </row>
    <row r="350">
      <c r="B350" s="248"/>
      <c r="C350" s="249"/>
    </row>
    <row r="351">
      <c r="B351" s="248"/>
      <c r="C351" s="249"/>
    </row>
    <row r="352">
      <c r="B352" s="248"/>
      <c r="C352" s="249"/>
    </row>
    <row r="353">
      <c r="B353" s="248"/>
      <c r="C353" s="249"/>
    </row>
    <row r="354">
      <c r="B354" s="248"/>
      <c r="C354" s="249"/>
    </row>
    <row r="355">
      <c r="B355" s="248"/>
      <c r="C355" s="249"/>
    </row>
    <row r="356">
      <c r="B356" s="248"/>
      <c r="C356" s="249"/>
    </row>
    <row r="357">
      <c r="B357" s="248"/>
      <c r="C357" s="249"/>
    </row>
    <row r="358">
      <c r="B358" s="248"/>
      <c r="C358" s="249"/>
    </row>
    <row r="359">
      <c r="B359" s="248"/>
      <c r="C359" s="249"/>
    </row>
    <row r="360">
      <c r="B360" s="248"/>
      <c r="C360" s="249"/>
    </row>
    <row r="361">
      <c r="B361" s="248"/>
      <c r="C361" s="249"/>
    </row>
    <row r="362">
      <c r="B362" s="248"/>
      <c r="C362" s="249"/>
    </row>
    <row r="363">
      <c r="B363" s="248"/>
      <c r="C363" s="249"/>
    </row>
    <row r="364">
      <c r="B364" s="248"/>
      <c r="C364" s="249"/>
    </row>
    <row r="365">
      <c r="B365" s="248"/>
      <c r="C365" s="249"/>
    </row>
    <row r="366">
      <c r="B366" s="248"/>
      <c r="C366" s="249"/>
    </row>
    <row r="367">
      <c r="B367" s="248"/>
      <c r="C367" s="249"/>
    </row>
    <row r="368">
      <c r="B368" s="248"/>
      <c r="C368" s="249"/>
    </row>
    <row r="369">
      <c r="B369" s="248"/>
      <c r="C369" s="249"/>
    </row>
    <row r="370">
      <c r="B370" s="248"/>
      <c r="C370" s="249"/>
    </row>
    <row r="371">
      <c r="B371" s="248"/>
      <c r="C371" s="249"/>
    </row>
    <row r="372">
      <c r="B372" s="248"/>
      <c r="C372" s="249"/>
    </row>
    <row r="373">
      <c r="B373" s="248"/>
      <c r="C373" s="249"/>
    </row>
    <row r="374">
      <c r="B374" s="248"/>
      <c r="C374" s="249"/>
    </row>
    <row r="375">
      <c r="B375" s="248"/>
      <c r="C375" s="249"/>
    </row>
    <row r="376">
      <c r="B376" s="248"/>
      <c r="C376" s="249"/>
    </row>
    <row r="377">
      <c r="B377" s="248"/>
      <c r="C377" s="249"/>
    </row>
    <row r="378">
      <c r="B378" s="248"/>
      <c r="C378" s="249"/>
    </row>
    <row r="379">
      <c r="B379" s="248"/>
      <c r="C379" s="249"/>
    </row>
    <row r="380">
      <c r="B380" s="248"/>
      <c r="C380" s="249"/>
    </row>
    <row r="381">
      <c r="B381" s="248"/>
      <c r="C381" s="249"/>
    </row>
    <row r="382">
      <c r="B382" s="248"/>
      <c r="C382" s="249"/>
    </row>
    <row r="383">
      <c r="B383" s="248"/>
      <c r="C383" s="249"/>
    </row>
    <row r="384">
      <c r="B384" s="248"/>
      <c r="C384" s="249"/>
    </row>
    <row r="385">
      <c r="B385" s="248"/>
      <c r="C385" s="249"/>
    </row>
    <row r="386">
      <c r="B386" s="248"/>
      <c r="C386" s="249"/>
    </row>
    <row r="387">
      <c r="B387" s="248"/>
      <c r="C387" s="249"/>
    </row>
    <row r="388">
      <c r="B388" s="248"/>
      <c r="C388" s="249"/>
    </row>
    <row r="389">
      <c r="B389" s="248"/>
      <c r="C389" s="249"/>
    </row>
    <row r="390">
      <c r="B390" s="248"/>
      <c r="C390" s="249"/>
    </row>
    <row r="391">
      <c r="B391" s="248"/>
      <c r="C391" s="249"/>
    </row>
    <row r="392">
      <c r="B392" s="248"/>
      <c r="C392" s="249"/>
    </row>
    <row r="393">
      <c r="B393" s="248"/>
      <c r="C393" s="249"/>
    </row>
    <row r="394">
      <c r="B394" s="248"/>
      <c r="C394" s="249"/>
    </row>
    <row r="395">
      <c r="B395" s="248"/>
      <c r="C395" s="249"/>
    </row>
    <row r="396">
      <c r="B396" s="248"/>
      <c r="C396" s="249"/>
    </row>
    <row r="397">
      <c r="B397" s="248"/>
      <c r="C397" s="249"/>
    </row>
    <row r="398">
      <c r="B398" s="248"/>
      <c r="C398" s="249"/>
    </row>
    <row r="399">
      <c r="B399" s="248"/>
      <c r="C399" s="249"/>
    </row>
    <row r="400">
      <c r="B400" s="248"/>
      <c r="C400" s="249"/>
    </row>
    <row r="401">
      <c r="B401" s="248"/>
      <c r="C401" s="249"/>
    </row>
    <row r="402">
      <c r="B402" s="248"/>
      <c r="C402" s="249"/>
    </row>
    <row r="403">
      <c r="B403" s="248"/>
      <c r="C403" s="249"/>
    </row>
    <row r="404">
      <c r="B404" s="248"/>
      <c r="C404" s="249"/>
    </row>
    <row r="405">
      <c r="B405" s="248"/>
      <c r="C405" s="249"/>
    </row>
    <row r="406">
      <c r="B406" s="248"/>
      <c r="C406" s="249"/>
    </row>
    <row r="407">
      <c r="B407" s="248"/>
      <c r="C407" s="249"/>
    </row>
    <row r="408">
      <c r="B408" s="248"/>
      <c r="C408" s="249"/>
    </row>
    <row r="409">
      <c r="B409" s="248"/>
      <c r="C409" s="249"/>
    </row>
    <row r="410">
      <c r="B410" s="248"/>
      <c r="C410" s="249"/>
    </row>
    <row r="411">
      <c r="B411" s="248"/>
      <c r="C411" s="249"/>
    </row>
    <row r="412">
      <c r="B412" s="248"/>
      <c r="C412" s="249"/>
    </row>
    <row r="413">
      <c r="B413" s="248"/>
      <c r="C413" s="249"/>
    </row>
    <row r="414">
      <c r="B414" s="248"/>
      <c r="C414" s="249"/>
    </row>
    <row r="415">
      <c r="B415" s="248"/>
      <c r="C415" s="249"/>
    </row>
    <row r="416">
      <c r="B416" s="248"/>
      <c r="C416" s="249"/>
    </row>
    <row r="417">
      <c r="B417" s="248"/>
      <c r="C417" s="249"/>
    </row>
    <row r="418">
      <c r="B418" s="248"/>
      <c r="C418" s="249"/>
    </row>
    <row r="419">
      <c r="B419" s="248"/>
      <c r="C419" s="249"/>
    </row>
    <row r="420">
      <c r="B420" s="248"/>
      <c r="C420" s="249"/>
    </row>
    <row r="421">
      <c r="B421" s="248"/>
      <c r="C421" s="249"/>
    </row>
    <row r="422">
      <c r="B422" s="248"/>
      <c r="C422" s="249"/>
    </row>
    <row r="423">
      <c r="B423" s="248"/>
      <c r="C423" s="249"/>
    </row>
    <row r="424">
      <c r="B424" s="248"/>
      <c r="C424" s="249"/>
    </row>
    <row r="425">
      <c r="B425" s="248"/>
      <c r="C425" s="249"/>
    </row>
    <row r="426">
      <c r="B426" s="248"/>
      <c r="C426" s="249"/>
    </row>
    <row r="427">
      <c r="B427" s="248"/>
      <c r="C427" s="249"/>
    </row>
    <row r="428">
      <c r="B428" s="248"/>
      <c r="C428" s="249"/>
    </row>
    <row r="429">
      <c r="B429" s="248"/>
      <c r="C429" s="249"/>
    </row>
    <row r="430">
      <c r="B430" s="248"/>
      <c r="C430" s="249"/>
    </row>
    <row r="431">
      <c r="B431" s="248"/>
      <c r="C431" s="249"/>
    </row>
    <row r="432">
      <c r="B432" s="248"/>
      <c r="C432" s="249"/>
    </row>
    <row r="433">
      <c r="B433" s="248"/>
      <c r="C433" s="249"/>
    </row>
    <row r="434">
      <c r="B434" s="248"/>
      <c r="C434" s="249"/>
    </row>
    <row r="435">
      <c r="B435" s="248"/>
      <c r="C435" s="249"/>
    </row>
    <row r="436">
      <c r="B436" s="248"/>
      <c r="C436" s="249"/>
    </row>
    <row r="437">
      <c r="B437" s="248"/>
      <c r="C437" s="249"/>
    </row>
    <row r="438">
      <c r="B438" s="248"/>
      <c r="C438" s="249"/>
    </row>
    <row r="439">
      <c r="B439" s="248"/>
      <c r="C439" s="249"/>
    </row>
    <row r="440">
      <c r="B440" s="248"/>
      <c r="C440" s="249"/>
    </row>
    <row r="441">
      <c r="B441" s="248"/>
      <c r="C441" s="249"/>
    </row>
    <row r="442">
      <c r="B442" s="248"/>
      <c r="C442" s="249"/>
    </row>
    <row r="443">
      <c r="B443" s="248"/>
      <c r="C443" s="249"/>
    </row>
    <row r="444">
      <c r="B444" s="248"/>
      <c r="C444" s="249"/>
    </row>
    <row r="445">
      <c r="B445" s="248"/>
      <c r="C445" s="249"/>
    </row>
    <row r="446">
      <c r="B446" s="248"/>
      <c r="C446" s="249"/>
    </row>
    <row r="447">
      <c r="B447" s="248"/>
      <c r="C447" s="249"/>
    </row>
    <row r="448">
      <c r="B448" s="248"/>
      <c r="C448" s="249"/>
    </row>
    <row r="449">
      <c r="B449" s="248"/>
      <c r="C449" s="249"/>
    </row>
    <row r="450">
      <c r="B450" s="248"/>
      <c r="C450" s="249"/>
    </row>
    <row r="451">
      <c r="B451" s="248"/>
      <c r="C451" s="249"/>
    </row>
    <row r="452">
      <c r="B452" s="248"/>
      <c r="C452" s="249"/>
    </row>
    <row r="453">
      <c r="B453" s="248"/>
      <c r="C453" s="249"/>
    </row>
    <row r="454">
      <c r="B454" s="248"/>
      <c r="C454" s="249"/>
    </row>
    <row r="455">
      <c r="B455" s="248"/>
      <c r="C455" s="249"/>
    </row>
    <row r="456">
      <c r="B456" s="248"/>
      <c r="C456" s="249"/>
    </row>
    <row r="457">
      <c r="B457" s="248"/>
      <c r="C457" s="249"/>
    </row>
    <row r="458">
      <c r="B458" s="248"/>
      <c r="C458" s="249"/>
    </row>
    <row r="459">
      <c r="B459" s="248"/>
      <c r="C459" s="249"/>
    </row>
    <row r="460">
      <c r="B460" s="248"/>
      <c r="C460" s="249"/>
    </row>
    <row r="461">
      <c r="B461" s="248"/>
      <c r="C461" s="249"/>
    </row>
    <row r="462">
      <c r="B462" s="248"/>
      <c r="C462" s="249"/>
    </row>
    <row r="463">
      <c r="B463" s="248"/>
      <c r="C463" s="249"/>
    </row>
    <row r="464">
      <c r="B464" s="248"/>
      <c r="C464" s="249"/>
    </row>
    <row r="465">
      <c r="B465" s="248"/>
      <c r="C465" s="249"/>
    </row>
    <row r="466">
      <c r="B466" s="248"/>
      <c r="C466" s="249"/>
    </row>
    <row r="467">
      <c r="B467" s="248"/>
      <c r="C467" s="249"/>
    </row>
    <row r="468">
      <c r="B468" s="248"/>
      <c r="C468" s="249"/>
    </row>
    <row r="469">
      <c r="B469" s="248"/>
      <c r="C469" s="249"/>
    </row>
    <row r="470">
      <c r="B470" s="248"/>
      <c r="C470" s="249"/>
    </row>
    <row r="471">
      <c r="B471" s="248"/>
      <c r="C471" s="249"/>
    </row>
    <row r="472">
      <c r="B472" s="248"/>
      <c r="C472" s="249"/>
    </row>
    <row r="473">
      <c r="B473" s="248"/>
      <c r="C473" s="249"/>
    </row>
    <row r="474">
      <c r="B474" s="248"/>
      <c r="C474" s="249"/>
    </row>
    <row r="475">
      <c r="B475" s="248"/>
      <c r="C475" s="249"/>
    </row>
    <row r="476">
      <c r="B476" s="248"/>
      <c r="C476" s="249"/>
    </row>
    <row r="477">
      <c r="B477" s="248"/>
      <c r="C477" s="249"/>
    </row>
    <row r="478">
      <c r="B478" s="248"/>
      <c r="C478" s="249"/>
    </row>
    <row r="479">
      <c r="B479" s="248"/>
      <c r="C479" s="249"/>
    </row>
    <row r="480">
      <c r="B480" s="248"/>
      <c r="C480" s="249"/>
    </row>
    <row r="481">
      <c r="B481" s="248"/>
      <c r="C481" s="249"/>
    </row>
    <row r="482">
      <c r="B482" s="248"/>
      <c r="C482" s="249"/>
    </row>
    <row r="483">
      <c r="B483" s="248"/>
      <c r="C483" s="249"/>
    </row>
    <row r="484">
      <c r="B484" s="248"/>
      <c r="C484" s="249"/>
    </row>
    <row r="485">
      <c r="B485" s="248"/>
      <c r="C485" s="249"/>
    </row>
    <row r="486">
      <c r="B486" s="248"/>
      <c r="C486" s="249"/>
    </row>
    <row r="487">
      <c r="B487" s="248"/>
      <c r="C487" s="249"/>
    </row>
    <row r="488">
      <c r="B488" s="248"/>
      <c r="C488" s="249"/>
    </row>
    <row r="489">
      <c r="B489" s="248"/>
      <c r="C489" s="249"/>
    </row>
    <row r="490">
      <c r="B490" s="248"/>
      <c r="C490" s="249"/>
    </row>
    <row r="491">
      <c r="B491" s="248"/>
      <c r="C491" s="249"/>
    </row>
    <row r="492">
      <c r="B492" s="248"/>
      <c r="C492" s="249"/>
    </row>
    <row r="493">
      <c r="B493" s="248"/>
      <c r="C493" s="249"/>
    </row>
    <row r="494">
      <c r="B494" s="248"/>
      <c r="C494" s="249"/>
    </row>
    <row r="495">
      <c r="B495" s="248"/>
      <c r="C495" s="249"/>
    </row>
    <row r="496">
      <c r="B496" s="248"/>
      <c r="C496" s="249"/>
    </row>
    <row r="497">
      <c r="B497" s="248"/>
      <c r="C497" s="249"/>
    </row>
    <row r="498">
      <c r="B498" s="248"/>
      <c r="C498" s="249"/>
    </row>
    <row r="499">
      <c r="B499" s="248"/>
      <c r="C499" s="249"/>
    </row>
    <row r="500">
      <c r="B500" s="248"/>
      <c r="C500" s="249"/>
    </row>
    <row r="501">
      <c r="B501" s="248"/>
      <c r="C501" s="249"/>
    </row>
    <row r="502">
      <c r="B502" s="248"/>
      <c r="C502" s="249"/>
    </row>
    <row r="503">
      <c r="B503" s="248"/>
      <c r="C503" s="249"/>
    </row>
    <row r="504">
      <c r="B504" s="248"/>
      <c r="C504" s="249"/>
    </row>
    <row r="505">
      <c r="B505" s="248"/>
      <c r="C505" s="249"/>
    </row>
    <row r="506">
      <c r="B506" s="248"/>
      <c r="C506" s="249"/>
    </row>
    <row r="507">
      <c r="B507" s="248"/>
      <c r="C507" s="249"/>
    </row>
    <row r="508">
      <c r="B508" s="248"/>
      <c r="C508" s="249"/>
    </row>
    <row r="509">
      <c r="B509" s="248"/>
      <c r="C509" s="249"/>
    </row>
    <row r="510">
      <c r="B510" s="248"/>
      <c r="C510" s="249"/>
    </row>
    <row r="511">
      <c r="B511" s="248"/>
      <c r="C511" s="249"/>
    </row>
    <row r="512">
      <c r="B512" s="248"/>
      <c r="C512" s="249"/>
    </row>
    <row r="513">
      <c r="B513" s="248"/>
      <c r="C513" s="249"/>
    </row>
    <row r="514">
      <c r="B514" s="248"/>
      <c r="C514" s="249"/>
    </row>
    <row r="515">
      <c r="B515" s="248"/>
      <c r="C515" s="249"/>
    </row>
    <row r="516">
      <c r="B516" s="248"/>
      <c r="C516" s="249"/>
    </row>
    <row r="517">
      <c r="B517" s="248"/>
      <c r="C517" s="249"/>
    </row>
    <row r="518">
      <c r="B518" s="248"/>
      <c r="C518" s="249"/>
    </row>
    <row r="519">
      <c r="B519" s="248"/>
      <c r="C519" s="249"/>
    </row>
    <row r="520">
      <c r="B520" s="248"/>
      <c r="C520" s="249"/>
    </row>
    <row r="521">
      <c r="B521" s="248"/>
      <c r="C521" s="249"/>
    </row>
    <row r="522">
      <c r="B522" s="248"/>
      <c r="C522" s="249"/>
    </row>
    <row r="523">
      <c r="B523" s="248"/>
      <c r="C523" s="249"/>
    </row>
    <row r="524">
      <c r="B524" s="248"/>
      <c r="C524" s="249"/>
    </row>
    <row r="525">
      <c r="B525" s="248"/>
      <c r="C525" s="249"/>
    </row>
    <row r="526">
      <c r="B526" s="248"/>
      <c r="C526" s="249"/>
    </row>
    <row r="527">
      <c r="B527" s="248"/>
      <c r="C527" s="249"/>
    </row>
    <row r="528">
      <c r="B528" s="248"/>
      <c r="C528" s="249"/>
    </row>
    <row r="529">
      <c r="B529" s="248"/>
      <c r="C529" s="249"/>
    </row>
    <row r="530">
      <c r="B530" s="248"/>
      <c r="C530" s="249"/>
    </row>
    <row r="531">
      <c r="B531" s="248"/>
      <c r="C531" s="249"/>
    </row>
    <row r="532">
      <c r="B532" s="248"/>
      <c r="C532" s="249"/>
    </row>
    <row r="533">
      <c r="B533" s="248"/>
      <c r="C533" s="249"/>
    </row>
    <row r="534">
      <c r="B534" s="248"/>
      <c r="C534" s="249"/>
    </row>
    <row r="535">
      <c r="B535" s="248"/>
      <c r="C535" s="249"/>
    </row>
    <row r="536">
      <c r="B536" s="248"/>
      <c r="C536" s="249"/>
    </row>
    <row r="537">
      <c r="B537" s="248"/>
      <c r="C537" s="249"/>
    </row>
    <row r="538">
      <c r="B538" s="248"/>
      <c r="C538" s="249"/>
    </row>
    <row r="539">
      <c r="B539" s="248"/>
      <c r="C539" s="249"/>
    </row>
    <row r="540">
      <c r="B540" s="248"/>
      <c r="C540" s="249"/>
    </row>
    <row r="541">
      <c r="B541" s="248"/>
      <c r="C541" s="249"/>
    </row>
    <row r="542">
      <c r="B542" s="248"/>
      <c r="C542" s="249"/>
    </row>
    <row r="543">
      <c r="B543" s="248"/>
      <c r="C543" s="249"/>
    </row>
    <row r="544">
      <c r="B544" s="248"/>
      <c r="C544" s="249"/>
    </row>
    <row r="545">
      <c r="B545" s="248"/>
      <c r="C545" s="249"/>
    </row>
    <row r="546">
      <c r="B546" s="248"/>
      <c r="C546" s="249"/>
    </row>
    <row r="547">
      <c r="B547" s="248"/>
      <c r="C547" s="249"/>
    </row>
    <row r="548">
      <c r="B548" s="248"/>
      <c r="C548" s="249"/>
    </row>
    <row r="549">
      <c r="B549" s="248"/>
      <c r="C549" s="249"/>
    </row>
    <row r="550">
      <c r="B550" s="248"/>
      <c r="C550" s="249"/>
    </row>
    <row r="551">
      <c r="B551" s="248"/>
      <c r="C551" s="249"/>
    </row>
    <row r="552">
      <c r="B552" s="248"/>
      <c r="C552" s="249"/>
    </row>
    <row r="553">
      <c r="B553" s="248"/>
      <c r="C553" s="249"/>
    </row>
    <row r="554">
      <c r="B554" s="248"/>
      <c r="C554" s="249"/>
    </row>
    <row r="555">
      <c r="B555" s="248"/>
      <c r="C555" s="249"/>
    </row>
    <row r="556">
      <c r="B556" s="248"/>
      <c r="C556" s="249"/>
    </row>
    <row r="557">
      <c r="B557" s="248"/>
      <c r="C557" s="249"/>
    </row>
    <row r="558">
      <c r="B558" s="248"/>
      <c r="C558" s="249"/>
    </row>
    <row r="559">
      <c r="B559" s="248"/>
      <c r="C559" s="249"/>
    </row>
    <row r="560">
      <c r="B560" s="248"/>
      <c r="C560" s="249"/>
    </row>
    <row r="561">
      <c r="B561" s="248"/>
      <c r="C561" s="249"/>
    </row>
    <row r="562">
      <c r="B562" s="248"/>
      <c r="C562" s="249"/>
    </row>
    <row r="563">
      <c r="B563" s="248"/>
      <c r="C563" s="249"/>
    </row>
    <row r="564">
      <c r="B564" s="248"/>
      <c r="C564" s="249"/>
    </row>
    <row r="565">
      <c r="B565" s="248"/>
      <c r="C565" s="249"/>
    </row>
    <row r="566">
      <c r="B566" s="248"/>
      <c r="C566" s="249"/>
    </row>
    <row r="567">
      <c r="B567" s="248"/>
      <c r="C567" s="249"/>
    </row>
    <row r="568">
      <c r="B568" s="248"/>
      <c r="C568" s="249"/>
    </row>
    <row r="569">
      <c r="B569" s="248"/>
      <c r="C569" s="249"/>
    </row>
    <row r="570">
      <c r="B570" s="248"/>
      <c r="C570" s="249"/>
    </row>
    <row r="571">
      <c r="B571" s="248"/>
      <c r="C571" s="249"/>
    </row>
    <row r="572">
      <c r="B572" s="248"/>
      <c r="C572" s="249"/>
    </row>
    <row r="573">
      <c r="B573" s="248"/>
      <c r="C573" s="249"/>
    </row>
    <row r="574">
      <c r="B574" s="248"/>
      <c r="C574" s="249"/>
    </row>
    <row r="575">
      <c r="B575" s="248"/>
      <c r="C575" s="249"/>
    </row>
    <row r="576">
      <c r="B576" s="248"/>
      <c r="C576" s="249"/>
    </row>
    <row r="577">
      <c r="B577" s="248"/>
      <c r="C577" s="249"/>
    </row>
    <row r="578">
      <c r="B578" s="248"/>
      <c r="C578" s="249"/>
    </row>
    <row r="579">
      <c r="B579" s="248"/>
      <c r="C579" s="249"/>
    </row>
    <row r="580">
      <c r="B580" s="248"/>
      <c r="C580" s="249"/>
    </row>
    <row r="581">
      <c r="B581" s="248"/>
      <c r="C581" s="249"/>
    </row>
    <row r="582">
      <c r="B582" s="248"/>
      <c r="C582" s="249"/>
    </row>
    <row r="583">
      <c r="B583" s="248"/>
      <c r="C583" s="249"/>
    </row>
    <row r="584">
      <c r="B584" s="248"/>
      <c r="C584" s="249"/>
    </row>
    <row r="585">
      <c r="B585" s="248"/>
      <c r="C585" s="249"/>
    </row>
    <row r="586">
      <c r="B586" s="248"/>
      <c r="C586" s="249"/>
    </row>
    <row r="587">
      <c r="B587" s="248"/>
      <c r="C587" s="249"/>
    </row>
    <row r="588">
      <c r="B588" s="248"/>
      <c r="C588" s="249"/>
    </row>
    <row r="589">
      <c r="B589" s="248"/>
      <c r="C589" s="249"/>
    </row>
    <row r="590">
      <c r="B590" s="248"/>
      <c r="C590" s="249"/>
    </row>
    <row r="591">
      <c r="B591" s="248"/>
      <c r="C591" s="249"/>
    </row>
    <row r="592">
      <c r="B592" s="248"/>
      <c r="C592" s="249"/>
    </row>
    <row r="593">
      <c r="B593" s="248"/>
      <c r="C593" s="249"/>
    </row>
    <row r="594">
      <c r="B594" s="248"/>
      <c r="C594" s="249"/>
    </row>
    <row r="595">
      <c r="B595" s="248"/>
      <c r="C595" s="249"/>
    </row>
    <row r="596">
      <c r="B596" s="248"/>
      <c r="C596" s="249"/>
    </row>
    <row r="597">
      <c r="B597" s="248"/>
      <c r="C597" s="249"/>
    </row>
    <row r="598">
      <c r="B598" s="248"/>
      <c r="C598" s="249"/>
    </row>
    <row r="599">
      <c r="B599" s="248"/>
      <c r="C599" s="249"/>
    </row>
    <row r="600">
      <c r="B600" s="248"/>
      <c r="C600" s="249"/>
    </row>
    <row r="601">
      <c r="B601" s="248"/>
      <c r="C601" s="249"/>
    </row>
    <row r="602">
      <c r="B602" s="248"/>
      <c r="C602" s="249"/>
    </row>
    <row r="603">
      <c r="B603" s="248"/>
      <c r="C603" s="249"/>
    </row>
    <row r="604">
      <c r="B604" s="248"/>
      <c r="C604" s="249"/>
    </row>
    <row r="605">
      <c r="B605" s="248"/>
      <c r="C605" s="249"/>
    </row>
    <row r="606">
      <c r="B606" s="248"/>
      <c r="C606" s="249"/>
    </row>
    <row r="607">
      <c r="B607" s="248"/>
      <c r="C607" s="249"/>
    </row>
    <row r="608">
      <c r="B608" s="248"/>
      <c r="C608" s="249"/>
    </row>
    <row r="609">
      <c r="B609" s="248"/>
      <c r="C609" s="249"/>
    </row>
    <row r="610">
      <c r="B610" s="248"/>
      <c r="C610" s="249"/>
    </row>
    <row r="611">
      <c r="B611" s="248"/>
      <c r="C611" s="249"/>
    </row>
    <row r="612">
      <c r="B612" s="248"/>
      <c r="C612" s="249"/>
    </row>
    <row r="613">
      <c r="B613" s="248"/>
      <c r="C613" s="249"/>
    </row>
    <row r="614">
      <c r="B614" s="248"/>
      <c r="C614" s="249"/>
    </row>
    <row r="615">
      <c r="B615" s="248"/>
      <c r="C615" s="249"/>
    </row>
    <row r="616">
      <c r="B616" s="248"/>
      <c r="C616" s="249"/>
    </row>
    <row r="617">
      <c r="B617" s="248"/>
      <c r="C617" s="249"/>
    </row>
    <row r="618">
      <c r="B618" s="248"/>
      <c r="C618" s="249"/>
    </row>
    <row r="619">
      <c r="B619" s="248"/>
      <c r="C619" s="249"/>
    </row>
    <row r="620">
      <c r="B620" s="248"/>
      <c r="C620" s="249"/>
    </row>
    <row r="621">
      <c r="B621" s="248"/>
      <c r="C621" s="249"/>
    </row>
    <row r="622">
      <c r="B622" s="248"/>
      <c r="C622" s="249"/>
    </row>
    <row r="623">
      <c r="B623" s="248"/>
      <c r="C623" s="249"/>
    </row>
    <row r="624">
      <c r="B624" s="248"/>
      <c r="C624" s="249"/>
    </row>
    <row r="625">
      <c r="B625" s="248"/>
      <c r="C625" s="249"/>
    </row>
    <row r="626">
      <c r="B626" s="248"/>
      <c r="C626" s="249"/>
    </row>
    <row r="627">
      <c r="B627" s="248"/>
      <c r="C627" s="249"/>
    </row>
    <row r="628">
      <c r="B628" s="248"/>
      <c r="C628" s="249"/>
    </row>
    <row r="629">
      <c r="B629" s="248"/>
      <c r="C629" s="249"/>
    </row>
    <row r="630">
      <c r="B630" s="248"/>
      <c r="C630" s="249"/>
    </row>
    <row r="631">
      <c r="B631" s="248"/>
      <c r="C631" s="249"/>
    </row>
    <row r="632">
      <c r="B632" s="248"/>
      <c r="C632" s="249"/>
    </row>
    <row r="633">
      <c r="B633" s="248"/>
      <c r="C633" s="249"/>
    </row>
    <row r="634">
      <c r="B634" s="248"/>
      <c r="C634" s="249"/>
    </row>
    <row r="635">
      <c r="B635" s="248"/>
      <c r="C635" s="249"/>
    </row>
    <row r="636">
      <c r="B636" s="248"/>
      <c r="C636" s="249"/>
    </row>
    <row r="637">
      <c r="B637" s="248"/>
      <c r="C637" s="249"/>
    </row>
    <row r="638">
      <c r="B638" s="248"/>
      <c r="C638" s="249"/>
    </row>
    <row r="639">
      <c r="B639" s="248"/>
      <c r="C639" s="249"/>
    </row>
    <row r="640">
      <c r="B640" s="248"/>
      <c r="C640" s="249"/>
    </row>
    <row r="641">
      <c r="B641" s="248"/>
      <c r="C641" s="249"/>
    </row>
    <row r="642">
      <c r="B642" s="248"/>
      <c r="C642" s="249"/>
    </row>
    <row r="643">
      <c r="B643" s="248"/>
      <c r="C643" s="249"/>
    </row>
    <row r="644">
      <c r="B644" s="248"/>
      <c r="C644" s="249"/>
    </row>
    <row r="645">
      <c r="B645" s="248"/>
      <c r="C645" s="249"/>
    </row>
    <row r="646">
      <c r="B646" s="248"/>
      <c r="C646" s="249"/>
    </row>
    <row r="647">
      <c r="B647" s="248"/>
      <c r="C647" s="249"/>
    </row>
    <row r="648">
      <c r="B648" s="248"/>
      <c r="C648" s="249"/>
    </row>
    <row r="649">
      <c r="B649" s="248"/>
      <c r="C649" s="249"/>
    </row>
    <row r="650">
      <c r="B650" s="248"/>
      <c r="C650" s="249"/>
    </row>
    <row r="651">
      <c r="B651" s="248"/>
      <c r="C651" s="249"/>
    </row>
    <row r="652">
      <c r="B652" s="248"/>
      <c r="C652" s="249"/>
    </row>
    <row r="653">
      <c r="B653" s="248"/>
      <c r="C653" s="249"/>
    </row>
    <row r="654">
      <c r="B654" s="248"/>
      <c r="C654" s="249"/>
    </row>
    <row r="655">
      <c r="B655" s="248"/>
      <c r="C655" s="249"/>
    </row>
    <row r="656">
      <c r="B656" s="248"/>
      <c r="C656" s="249"/>
    </row>
    <row r="657">
      <c r="B657" s="248"/>
      <c r="C657" s="249"/>
    </row>
    <row r="658">
      <c r="B658" s="248"/>
      <c r="C658" s="249"/>
    </row>
    <row r="659">
      <c r="B659" s="248"/>
      <c r="C659" s="249"/>
    </row>
    <row r="660">
      <c r="B660" s="248"/>
      <c r="C660" s="249"/>
    </row>
    <row r="661">
      <c r="B661" s="248"/>
      <c r="C661" s="249"/>
    </row>
    <row r="662">
      <c r="B662" s="248"/>
      <c r="C662" s="249"/>
    </row>
    <row r="663">
      <c r="B663" s="248"/>
      <c r="C663" s="249"/>
    </row>
    <row r="664">
      <c r="B664" s="248"/>
      <c r="C664" s="249"/>
    </row>
    <row r="665">
      <c r="B665" s="248"/>
      <c r="C665" s="249"/>
    </row>
    <row r="666">
      <c r="B666" s="248"/>
      <c r="C666" s="249"/>
    </row>
    <row r="667">
      <c r="B667" s="248"/>
      <c r="C667" s="249"/>
    </row>
    <row r="668">
      <c r="B668" s="248"/>
      <c r="C668" s="249"/>
    </row>
    <row r="669">
      <c r="B669" s="248"/>
      <c r="C669" s="249"/>
    </row>
    <row r="670">
      <c r="B670" s="248"/>
      <c r="C670" s="249"/>
    </row>
    <row r="671">
      <c r="B671" s="248"/>
      <c r="C671" s="249"/>
    </row>
    <row r="672">
      <c r="B672" s="248"/>
      <c r="C672" s="249"/>
    </row>
    <row r="673">
      <c r="B673" s="248"/>
      <c r="C673" s="249"/>
    </row>
    <row r="674">
      <c r="B674" s="248"/>
      <c r="C674" s="249"/>
    </row>
    <row r="675">
      <c r="B675" s="248"/>
      <c r="C675" s="249"/>
    </row>
    <row r="676">
      <c r="B676" s="248"/>
      <c r="C676" s="249"/>
    </row>
    <row r="677">
      <c r="B677" s="248"/>
      <c r="C677" s="249"/>
    </row>
    <row r="678">
      <c r="B678" s="248"/>
      <c r="C678" s="249"/>
    </row>
    <row r="679">
      <c r="B679" s="248"/>
      <c r="C679" s="249"/>
    </row>
    <row r="680">
      <c r="B680" s="248"/>
      <c r="C680" s="249"/>
    </row>
    <row r="681">
      <c r="B681" s="248"/>
      <c r="C681" s="249"/>
    </row>
    <row r="682">
      <c r="B682" s="248"/>
      <c r="C682" s="249"/>
    </row>
    <row r="683">
      <c r="B683" s="248"/>
      <c r="C683" s="249"/>
    </row>
    <row r="684">
      <c r="B684" s="248"/>
      <c r="C684" s="249"/>
    </row>
    <row r="685">
      <c r="B685" s="248"/>
      <c r="C685" s="249"/>
    </row>
    <row r="686">
      <c r="B686" s="248"/>
      <c r="C686" s="249"/>
    </row>
    <row r="687">
      <c r="B687" s="248"/>
      <c r="C687" s="249"/>
    </row>
    <row r="688">
      <c r="B688" s="248"/>
      <c r="C688" s="249"/>
    </row>
    <row r="689">
      <c r="B689" s="248"/>
      <c r="C689" s="249"/>
    </row>
    <row r="690">
      <c r="B690" s="248"/>
      <c r="C690" s="249"/>
    </row>
    <row r="691">
      <c r="B691" s="248"/>
      <c r="C691" s="249"/>
    </row>
    <row r="692">
      <c r="B692" s="248"/>
      <c r="C692" s="249"/>
    </row>
    <row r="693">
      <c r="B693" s="248"/>
      <c r="C693" s="249"/>
    </row>
    <row r="694">
      <c r="B694" s="248"/>
      <c r="C694" s="249"/>
    </row>
    <row r="695">
      <c r="B695" s="248"/>
      <c r="C695" s="249"/>
    </row>
    <row r="696">
      <c r="B696" s="248"/>
      <c r="C696" s="249"/>
    </row>
    <row r="697">
      <c r="B697" s="248"/>
      <c r="C697" s="249"/>
    </row>
    <row r="698">
      <c r="B698" s="248"/>
      <c r="C698" s="249"/>
    </row>
    <row r="699">
      <c r="B699" s="248"/>
      <c r="C699" s="249"/>
    </row>
    <row r="700">
      <c r="B700" s="248"/>
      <c r="C700" s="249"/>
    </row>
    <row r="701">
      <c r="B701" s="248"/>
      <c r="C701" s="249"/>
    </row>
    <row r="702">
      <c r="B702" s="248"/>
      <c r="C702" s="249"/>
    </row>
    <row r="703">
      <c r="B703" s="248"/>
      <c r="C703" s="249"/>
    </row>
    <row r="704">
      <c r="B704" s="248"/>
      <c r="C704" s="249"/>
    </row>
    <row r="705">
      <c r="B705" s="248"/>
      <c r="C705" s="249"/>
    </row>
    <row r="706">
      <c r="B706" s="248"/>
      <c r="C706" s="249"/>
    </row>
    <row r="707">
      <c r="B707" s="248"/>
      <c r="C707" s="249"/>
    </row>
    <row r="708">
      <c r="B708" s="248"/>
      <c r="C708" s="249"/>
    </row>
    <row r="709">
      <c r="B709" s="248"/>
      <c r="C709" s="249"/>
    </row>
    <row r="710">
      <c r="B710" s="248"/>
      <c r="C710" s="249"/>
    </row>
    <row r="711">
      <c r="B711" s="248"/>
      <c r="C711" s="249"/>
    </row>
    <row r="712">
      <c r="B712" s="248"/>
      <c r="C712" s="249"/>
    </row>
    <row r="713">
      <c r="B713" s="248"/>
      <c r="C713" s="249"/>
    </row>
    <row r="714">
      <c r="B714" s="248"/>
      <c r="C714" s="249"/>
    </row>
    <row r="715">
      <c r="B715" s="248"/>
      <c r="C715" s="249"/>
    </row>
    <row r="716">
      <c r="B716" s="248"/>
      <c r="C716" s="249"/>
    </row>
    <row r="717">
      <c r="B717" s="248"/>
      <c r="C717" s="249"/>
    </row>
    <row r="718">
      <c r="B718" s="248"/>
      <c r="C718" s="249"/>
    </row>
    <row r="719">
      <c r="B719" s="248"/>
      <c r="C719" s="249"/>
    </row>
    <row r="720">
      <c r="B720" s="248"/>
      <c r="C720" s="249"/>
    </row>
    <row r="721">
      <c r="B721" s="248"/>
      <c r="C721" s="249"/>
    </row>
    <row r="722">
      <c r="B722" s="248"/>
      <c r="C722" s="249"/>
    </row>
    <row r="723">
      <c r="B723" s="248"/>
      <c r="C723" s="249"/>
    </row>
    <row r="724">
      <c r="B724" s="248"/>
      <c r="C724" s="249"/>
    </row>
    <row r="725">
      <c r="B725" s="248"/>
      <c r="C725" s="249"/>
    </row>
    <row r="726">
      <c r="B726" s="248"/>
      <c r="C726" s="249"/>
    </row>
    <row r="727">
      <c r="B727" s="248"/>
      <c r="C727" s="249"/>
    </row>
    <row r="728">
      <c r="B728" s="248"/>
      <c r="C728" s="249"/>
    </row>
    <row r="729">
      <c r="B729" s="248"/>
      <c r="C729" s="249"/>
    </row>
    <row r="730">
      <c r="B730" s="248"/>
      <c r="C730" s="249"/>
    </row>
    <row r="731">
      <c r="B731" s="248"/>
      <c r="C731" s="249"/>
    </row>
    <row r="732">
      <c r="B732" s="248"/>
      <c r="C732" s="249"/>
    </row>
    <row r="733">
      <c r="B733" s="248"/>
      <c r="C733" s="249"/>
    </row>
    <row r="734">
      <c r="B734" s="248"/>
      <c r="C734" s="249"/>
    </row>
    <row r="735">
      <c r="B735" s="248"/>
      <c r="C735" s="249"/>
    </row>
    <row r="736">
      <c r="B736" s="248"/>
      <c r="C736" s="249"/>
    </row>
    <row r="737">
      <c r="B737" s="248"/>
      <c r="C737" s="249"/>
    </row>
    <row r="738">
      <c r="B738" s="248"/>
      <c r="C738" s="249"/>
    </row>
    <row r="739">
      <c r="B739" s="248"/>
      <c r="C739" s="249"/>
    </row>
    <row r="740">
      <c r="B740" s="248"/>
      <c r="C740" s="249"/>
    </row>
    <row r="741">
      <c r="B741" s="248"/>
      <c r="C741" s="249"/>
    </row>
    <row r="742">
      <c r="B742" s="248"/>
      <c r="C742" s="249"/>
    </row>
    <row r="743">
      <c r="B743" s="248"/>
      <c r="C743" s="249"/>
    </row>
    <row r="744">
      <c r="B744" s="248"/>
      <c r="C744" s="249"/>
    </row>
    <row r="745">
      <c r="B745" s="248"/>
      <c r="C745" s="249"/>
    </row>
    <row r="746">
      <c r="B746" s="248"/>
      <c r="C746" s="249"/>
    </row>
    <row r="747">
      <c r="B747" s="248"/>
      <c r="C747" s="249"/>
    </row>
    <row r="748">
      <c r="B748" s="248"/>
      <c r="C748" s="249"/>
    </row>
    <row r="749">
      <c r="B749" s="248"/>
      <c r="C749" s="249"/>
    </row>
    <row r="750">
      <c r="B750" s="248"/>
      <c r="C750" s="249"/>
    </row>
    <row r="751">
      <c r="B751" s="248"/>
      <c r="C751" s="249"/>
    </row>
    <row r="752">
      <c r="B752" s="248"/>
      <c r="C752" s="249"/>
    </row>
    <row r="753">
      <c r="B753" s="248"/>
      <c r="C753" s="249"/>
    </row>
    <row r="754">
      <c r="B754" s="248"/>
      <c r="C754" s="249"/>
    </row>
    <row r="755">
      <c r="B755" s="248"/>
      <c r="C755" s="249"/>
    </row>
    <row r="756">
      <c r="B756" s="248"/>
      <c r="C756" s="249"/>
    </row>
    <row r="757">
      <c r="B757" s="248"/>
      <c r="C757" s="249"/>
    </row>
    <row r="758">
      <c r="B758" s="248"/>
      <c r="C758" s="249"/>
    </row>
    <row r="759">
      <c r="B759" s="248"/>
      <c r="C759" s="249"/>
    </row>
    <row r="760">
      <c r="B760" s="248"/>
      <c r="C760" s="249"/>
    </row>
    <row r="761">
      <c r="B761" s="248"/>
      <c r="C761" s="249"/>
    </row>
    <row r="762">
      <c r="B762" s="248"/>
      <c r="C762" s="249"/>
    </row>
    <row r="763">
      <c r="B763" s="248"/>
      <c r="C763" s="249"/>
    </row>
    <row r="764">
      <c r="B764" s="248"/>
      <c r="C764" s="249"/>
    </row>
    <row r="765">
      <c r="B765" s="248"/>
      <c r="C765" s="249"/>
    </row>
    <row r="766">
      <c r="B766" s="248"/>
      <c r="C766" s="249"/>
    </row>
    <row r="767">
      <c r="B767" s="248"/>
      <c r="C767" s="249"/>
    </row>
    <row r="768">
      <c r="B768" s="248"/>
      <c r="C768" s="249"/>
    </row>
    <row r="769">
      <c r="B769" s="248"/>
      <c r="C769" s="249"/>
    </row>
    <row r="770">
      <c r="B770" s="248"/>
      <c r="C770" s="249"/>
    </row>
    <row r="771">
      <c r="B771" s="248"/>
      <c r="C771" s="249"/>
    </row>
    <row r="772">
      <c r="B772" s="248"/>
      <c r="C772" s="249"/>
    </row>
    <row r="773">
      <c r="B773" s="248"/>
      <c r="C773" s="249"/>
    </row>
    <row r="774">
      <c r="B774" s="248"/>
      <c r="C774" s="249"/>
    </row>
    <row r="775">
      <c r="B775" s="248"/>
      <c r="C775" s="249"/>
    </row>
    <row r="776">
      <c r="B776" s="248"/>
      <c r="C776" s="249"/>
    </row>
    <row r="777">
      <c r="B777" s="248"/>
      <c r="C777" s="249"/>
    </row>
    <row r="778">
      <c r="B778" s="248"/>
      <c r="C778" s="249"/>
    </row>
    <row r="779">
      <c r="B779" s="248"/>
      <c r="C779" s="249"/>
    </row>
    <row r="780">
      <c r="B780" s="248"/>
      <c r="C780" s="249"/>
    </row>
    <row r="781">
      <c r="B781" s="248"/>
      <c r="C781" s="249"/>
    </row>
    <row r="782">
      <c r="B782" s="248"/>
      <c r="C782" s="249"/>
    </row>
    <row r="783">
      <c r="B783" s="248"/>
      <c r="C783" s="249"/>
    </row>
    <row r="784">
      <c r="B784" s="248"/>
      <c r="C784" s="249"/>
    </row>
    <row r="785">
      <c r="B785" s="248"/>
      <c r="C785" s="249"/>
    </row>
    <row r="786">
      <c r="B786" s="248"/>
      <c r="C786" s="249"/>
    </row>
    <row r="787">
      <c r="B787" s="248"/>
      <c r="C787" s="249"/>
    </row>
    <row r="788">
      <c r="B788" s="248"/>
      <c r="C788" s="249"/>
    </row>
    <row r="789">
      <c r="B789" s="248"/>
      <c r="C789" s="249"/>
    </row>
    <row r="790">
      <c r="B790" s="248"/>
      <c r="C790" s="249"/>
    </row>
    <row r="791">
      <c r="B791" s="248"/>
      <c r="C791" s="249"/>
    </row>
    <row r="792">
      <c r="B792" s="248"/>
      <c r="C792" s="249"/>
    </row>
    <row r="793">
      <c r="B793" s="248"/>
      <c r="C793" s="249"/>
    </row>
    <row r="794">
      <c r="B794" s="248"/>
      <c r="C794" s="249"/>
    </row>
    <row r="795">
      <c r="B795" s="248"/>
      <c r="C795" s="249"/>
    </row>
    <row r="796">
      <c r="B796" s="248"/>
      <c r="C796" s="249"/>
    </row>
    <row r="797">
      <c r="B797" s="248"/>
      <c r="C797" s="249"/>
    </row>
    <row r="798">
      <c r="B798" s="248"/>
      <c r="C798" s="249"/>
    </row>
    <row r="799">
      <c r="B799" s="248"/>
      <c r="C799" s="249"/>
    </row>
    <row r="800">
      <c r="B800" s="248"/>
      <c r="C800" s="249"/>
    </row>
    <row r="801">
      <c r="B801" s="248"/>
      <c r="C801" s="249"/>
    </row>
    <row r="802">
      <c r="B802" s="248"/>
      <c r="C802" s="249"/>
    </row>
    <row r="803">
      <c r="B803" s="248"/>
      <c r="C803" s="249"/>
    </row>
    <row r="804">
      <c r="B804" s="248"/>
      <c r="C804" s="249"/>
    </row>
    <row r="805">
      <c r="B805" s="248"/>
      <c r="C805" s="249"/>
    </row>
    <row r="806">
      <c r="B806" s="248"/>
      <c r="C806" s="249"/>
    </row>
    <row r="807">
      <c r="B807" s="248"/>
      <c r="C807" s="249"/>
    </row>
    <row r="808">
      <c r="B808" s="248"/>
      <c r="C808" s="249"/>
    </row>
    <row r="809">
      <c r="B809" s="248"/>
      <c r="C809" s="249"/>
    </row>
    <row r="810">
      <c r="B810" s="248"/>
      <c r="C810" s="249"/>
    </row>
    <row r="811">
      <c r="B811" s="248"/>
      <c r="C811" s="249"/>
    </row>
    <row r="812">
      <c r="B812" s="248"/>
      <c r="C812" s="249"/>
    </row>
    <row r="813">
      <c r="B813" s="248"/>
      <c r="C813" s="249"/>
    </row>
    <row r="814">
      <c r="B814" s="248"/>
      <c r="C814" s="249"/>
    </row>
    <row r="815">
      <c r="B815" s="248"/>
      <c r="C815" s="249"/>
    </row>
    <row r="816">
      <c r="B816" s="248"/>
      <c r="C816" s="249"/>
    </row>
    <row r="817">
      <c r="B817" s="248"/>
      <c r="C817" s="249"/>
    </row>
    <row r="818">
      <c r="B818" s="248"/>
      <c r="C818" s="249"/>
    </row>
    <row r="819">
      <c r="B819" s="248"/>
      <c r="C819" s="249"/>
    </row>
    <row r="820">
      <c r="B820" s="248"/>
      <c r="C820" s="249"/>
    </row>
    <row r="821">
      <c r="B821" s="248"/>
      <c r="C821" s="249"/>
    </row>
    <row r="822">
      <c r="B822" s="248"/>
      <c r="C822" s="249"/>
    </row>
    <row r="823">
      <c r="B823" s="248"/>
      <c r="C823" s="249"/>
    </row>
    <row r="824">
      <c r="B824" s="248"/>
      <c r="C824" s="249"/>
    </row>
    <row r="825">
      <c r="B825" s="248"/>
      <c r="C825" s="249"/>
    </row>
    <row r="826">
      <c r="B826" s="248"/>
      <c r="C826" s="249"/>
    </row>
    <row r="827">
      <c r="B827" s="248"/>
      <c r="C827" s="249"/>
    </row>
    <row r="828">
      <c r="B828" s="248"/>
      <c r="C828" s="249"/>
    </row>
    <row r="829">
      <c r="B829" s="248"/>
      <c r="C829" s="249"/>
    </row>
    <row r="830">
      <c r="B830" s="248"/>
      <c r="C830" s="249"/>
    </row>
    <row r="831">
      <c r="B831" s="248"/>
      <c r="C831" s="249"/>
    </row>
    <row r="832">
      <c r="B832" s="248"/>
      <c r="C832" s="249"/>
    </row>
    <row r="833">
      <c r="B833" s="248"/>
      <c r="C833" s="249"/>
    </row>
    <row r="834">
      <c r="B834" s="248"/>
      <c r="C834" s="249"/>
    </row>
    <row r="835">
      <c r="B835" s="248"/>
      <c r="C835" s="249"/>
    </row>
    <row r="836">
      <c r="B836" s="248"/>
      <c r="C836" s="249"/>
    </row>
    <row r="837">
      <c r="B837" s="248"/>
      <c r="C837" s="249"/>
    </row>
    <row r="838">
      <c r="B838" s="248"/>
      <c r="C838" s="249"/>
    </row>
    <row r="839">
      <c r="B839" s="248"/>
      <c r="C839" s="249"/>
    </row>
    <row r="840">
      <c r="B840" s="248"/>
      <c r="C840" s="249"/>
    </row>
    <row r="841">
      <c r="B841" s="248"/>
      <c r="C841" s="249"/>
    </row>
    <row r="842">
      <c r="B842" s="248"/>
      <c r="C842" s="249"/>
    </row>
    <row r="843">
      <c r="B843" s="248"/>
      <c r="C843" s="249"/>
    </row>
    <row r="844">
      <c r="B844" s="248"/>
      <c r="C844" s="249"/>
    </row>
    <row r="845">
      <c r="B845" s="248"/>
      <c r="C845" s="249"/>
    </row>
    <row r="846">
      <c r="B846" s="248"/>
      <c r="C846" s="249"/>
    </row>
    <row r="847">
      <c r="B847" s="248"/>
      <c r="C847" s="249"/>
    </row>
    <row r="848">
      <c r="B848" s="248"/>
      <c r="C848" s="249"/>
    </row>
    <row r="849">
      <c r="B849" s="248"/>
      <c r="C849" s="249"/>
    </row>
    <row r="850">
      <c r="B850" s="248"/>
      <c r="C850" s="249"/>
    </row>
    <row r="851">
      <c r="B851" s="248"/>
      <c r="C851" s="249"/>
    </row>
    <row r="852">
      <c r="B852" s="248"/>
      <c r="C852" s="249"/>
    </row>
    <row r="853">
      <c r="B853" s="248"/>
      <c r="C853" s="249"/>
    </row>
    <row r="854">
      <c r="B854" s="248"/>
      <c r="C854" s="249"/>
    </row>
    <row r="855">
      <c r="B855" s="248"/>
      <c r="C855" s="249"/>
    </row>
    <row r="856">
      <c r="B856" s="248"/>
      <c r="C856" s="249"/>
    </row>
    <row r="857">
      <c r="B857" s="248"/>
      <c r="C857" s="249"/>
    </row>
    <row r="858">
      <c r="B858" s="248"/>
      <c r="C858" s="249"/>
    </row>
    <row r="859">
      <c r="B859" s="248"/>
      <c r="C859" s="249"/>
    </row>
    <row r="860">
      <c r="B860" s="248"/>
      <c r="C860" s="249"/>
    </row>
    <row r="861">
      <c r="B861" s="248"/>
      <c r="C861" s="249"/>
    </row>
    <row r="862">
      <c r="B862" s="248"/>
      <c r="C862" s="249"/>
    </row>
    <row r="863">
      <c r="B863" s="248"/>
      <c r="C863" s="249"/>
    </row>
    <row r="864">
      <c r="B864" s="248"/>
      <c r="C864" s="249"/>
    </row>
    <row r="865">
      <c r="B865" s="248"/>
      <c r="C865" s="249"/>
    </row>
    <row r="866">
      <c r="B866" s="248"/>
      <c r="C866" s="249"/>
    </row>
    <row r="867">
      <c r="B867" s="248"/>
      <c r="C867" s="249"/>
    </row>
    <row r="868">
      <c r="B868" s="248"/>
      <c r="C868" s="249"/>
    </row>
    <row r="869">
      <c r="B869" s="248"/>
      <c r="C869" s="249"/>
    </row>
    <row r="870">
      <c r="B870" s="248"/>
      <c r="C870" s="249"/>
    </row>
    <row r="871">
      <c r="B871" s="248"/>
      <c r="C871" s="249"/>
    </row>
    <row r="872">
      <c r="B872" s="248"/>
      <c r="C872" s="249"/>
    </row>
    <row r="873">
      <c r="B873" s="248"/>
      <c r="C873" s="249"/>
    </row>
    <row r="874">
      <c r="B874" s="248"/>
      <c r="C874" s="249"/>
    </row>
    <row r="875">
      <c r="B875" s="248"/>
      <c r="C875" s="249"/>
    </row>
    <row r="876">
      <c r="B876" s="248"/>
      <c r="C876" s="249"/>
    </row>
    <row r="877">
      <c r="B877" s="248"/>
      <c r="C877" s="24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14" t="s">
        <v>10</v>
      </c>
      <c r="B1" s="315">
        <f>'進捗'!P4</f>
        <v>42</v>
      </c>
      <c r="C1" s="316" t="s">
        <v>604</v>
      </c>
      <c r="D1" s="86"/>
      <c r="E1" s="86"/>
      <c r="F1" s="86"/>
      <c r="G1" s="316"/>
      <c r="H1" s="86"/>
      <c r="J1" s="86"/>
    </row>
    <row r="2">
      <c r="A2" s="314" t="s">
        <v>605</v>
      </c>
      <c r="B2" s="317">
        <f>'進捗'!P4-'進捗'!O4</f>
        <v>42</v>
      </c>
      <c r="C2" s="316" t="s">
        <v>606</v>
      </c>
      <c r="D2" s="86"/>
      <c r="E2" s="86"/>
      <c r="F2" s="316"/>
      <c r="G2" s="316"/>
      <c r="H2" s="86"/>
      <c r="J2" s="86"/>
    </row>
    <row r="3">
      <c r="A3" s="314" t="s">
        <v>607</v>
      </c>
      <c r="B3" s="318">
        <f>IFERROR(B1/B2,0)</f>
        <v>1</v>
      </c>
      <c r="C3" s="86"/>
      <c r="D3" s="86"/>
      <c r="E3" s="86"/>
      <c r="F3" s="86"/>
      <c r="G3" s="316"/>
      <c r="H3" s="86"/>
      <c r="J3" s="86"/>
    </row>
    <row r="4">
      <c r="A4" s="314" t="s">
        <v>608</v>
      </c>
      <c r="B4" s="318">
        <v>0.03</v>
      </c>
      <c r="C4" s="86"/>
      <c r="D4" s="86"/>
      <c r="E4" s="86"/>
      <c r="F4" s="86"/>
      <c r="G4" s="316"/>
      <c r="H4" s="86"/>
      <c r="J4" s="86"/>
    </row>
    <row r="5">
      <c r="A5" s="86"/>
      <c r="B5" s="86"/>
      <c r="C5" s="86"/>
      <c r="D5" s="86"/>
      <c r="E5" s="86"/>
      <c r="F5" s="86"/>
      <c r="G5" s="316"/>
      <c r="H5" s="86"/>
      <c r="J5" s="86"/>
    </row>
    <row r="6">
      <c r="A6" s="86"/>
      <c r="B6" s="316" t="s">
        <v>609</v>
      </c>
      <c r="C6" s="316"/>
      <c r="D6" s="316" t="s">
        <v>609</v>
      </c>
      <c r="E6" s="316"/>
      <c r="F6" s="316" t="s">
        <v>609</v>
      </c>
      <c r="G6" s="316" t="s">
        <v>609</v>
      </c>
      <c r="H6" s="319"/>
      <c r="I6" s="316" t="s">
        <v>609</v>
      </c>
      <c r="J6" s="316" t="s">
        <v>609</v>
      </c>
      <c r="M6" s="316" t="s">
        <v>609</v>
      </c>
    </row>
    <row r="7">
      <c r="A7" s="320" t="s">
        <v>610</v>
      </c>
      <c r="B7" s="314" t="s">
        <v>611</v>
      </c>
      <c r="C7" s="320" t="s">
        <v>612</v>
      </c>
      <c r="D7" s="314" t="s">
        <v>613</v>
      </c>
      <c r="E7" s="320" t="s">
        <v>614</v>
      </c>
      <c r="F7" s="314" t="s">
        <v>615</v>
      </c>
      <c r="G7" s="314" t="s">
        <v>616</v>
      </c>
      <c r="H7" s="320" t="s">
        <v>617</v>
      </c>
      <c r="I7" s="314" t="s">
        <v>618</v>
      </c>
      <c r="J7" s="314" t="s">
        <v>619</v>
      </c>
      <c r="K7" s="314" t="s">
        <v>620</v>
      </c>
      <c r="L7" s="314" t="s">
        <v>621</v>
      </c>
      <c r="M7" s="320" t="s">
        <v>622</v>
      </c>
    </row>
    <row r="8">
      <c r="A8" s="321">
        <v>45391.0</v>
      </c>
      <c r="B8" s="322">
        <f t="shared" ref="B8:B22" si="1">$B$1</f>
        <v>42</v>
      </c>
      <c r="C8" s="323">
        <f t="shared" ref="C8:C22" si="2">B8/count($A$8:$A$22)</f>
        <v>2.8</v>
      </c>
      <c r="D8" s="323">
        <f>C8</f>
        <v>2.8</v>
      </c>
      <c r="E8" s="324">
        <v>1.0</v>
      </c>
      <c r="F8" s="322">
        <f>E8</f>
        <v>1</v>
      </c>
      <c r="G8" s="323">
        <f t="shared" ref="G8:G22" si="3">F8*$B$4</f>
        <v>0.03</v>
      </c>
      <c r="H8" s="325">
        <f>countif('バグ一覧'!D:D,"=A8")</f>
        <v>0</v>
      </c>
      <c r="I8" s="315">
        <f>H8</f>
        <v>0</v>
      </c>
      <c r="J8" s="326">
        <f t="shared" ref="J8:J22" si="4">I8/B8</f>
        <v>0</v>
      </c>
      <c r="K8" s="315">
        <v>0.0</v>
      </c>
      <c r="L8" s="315">
        <f>K8</f>
        <v>0</v>
      </c>
      <c r="M8" s="315">
        <f t="shared" ref="M8:M22" si="5">I8-L8</f>
        <v>0</v>
      </c>
    </row>
    <row r="9">
      <c r="A9" s="327">
        <f t="shared" ref="A9:A22" si="6">A8+1</f>
        <v>45392</v>
      </c>
      <c r="B9" s="322">
        <f t="shared" si="1"/>
        <v>42</v>
      </c>
      <c r="C9" s="323">
        <f t="shared" si="2"/>
        <v>2.8</v>
      </c>
      <c r="D9" s="323">
        <f t="shared" ref="D9:D22" si="7">C9+D8</f>
        <v>5.6</v>
      </c>
      <c r="E9" s="324">
        <v>2.0</v>
      </c>
      <c r="F9" s="325">
        <f t="shared" ref="F9:F22" si="8">F8+E9</f>
        <v>3</v>
      </c>
      <c r="G9" s="323">
        <f t="shared" si="3"/>
        <v>0.09</v>
      </c>
      <c r="H9" s="325">
        <f>countif('バグ一覧'!D:D,"=A9")</f>
        <v>0</v>
      </c>
      <c r="I9" s="317">
        <f t="shared" ref="I9:I22" si="9">H9+I8</f>
        <v>0</v>
      </c>
      <c r="J9" s="326">
        <f t="shared" si="4"/>
        <v>0</v>
      </c>
      <c r="K9" s="315">
        <v>0.0</v>
      </c>
      <c r="L9" s="315">
        <f t="shared" ref="L9:L22" si="10">K9+L8</f>
        <v>0</v>
      </c>
      <c r="M9" s="315">
        <f t="shared" si="5"/>
        <v>0</v>
      </c>
    </row>
    <row r="10">
      <c r="A10" s="327">
        <f t="shared" si="6"/>
        <v>45393</v>
      </c>
      <c r="B10" s="322">
        <f t="shared" si="1"/>
        <v>42</v>
      </c>
      <c r="C10" s="323">
        <f t="shared" si="2"/>
        <v>2.8</v>
      </c>
      <c r="D10" s="323">
        <f t="shared" si="7"/>
        <v>8.4</v>
      </c>
      <c r="E10" s="328">
        <v>10.0</v>
      </c>
      <c r="F10" s="325">
        <f t="shared" si="8"/>
        <v>13</v>
      </c>
      <c r="G10" s="323">
        <f t="shared" si="3"/>
        <v>0.39</v>
      </c>
      <c r="H10" s="325">
        <f>countif('バグ一覧'!D:D,"=A10")</f>
        <v>0</v>
      </c>
      <c r="I10" s="317">
        <f t="shared" si="9"/>
        <v>0</v>
      </c>
      <c r="J10" s="326">
        <f t="shared" si="4"/>
        <v>0</v>
      </c>
      <c r="K10" s="315">
        <v>1.0</v>
      </c>
      <c r="L10" s="315">
        <f t="shared" si="10"/>
        <v>1</v>
      </c>
      <c r="M10" s="315">
        <f t="shared" si="5"/>
        <v>-1</v>
      </c>
    </row>
    <row r="11">
      <c r="A11" s="327">
        <f t="shared" si="6"/>
        <v>45394</v>
      </c>
      <c r="B11" s="322">
        <f t="shared" si="1"/>
        <v>42</v>
      </c>
      <c r="C11" s="323">
        <f t="shared" si="2"/>
        <v>2.8</v>
      </c>
      <c r="D11" s="323">
        <f t="shared" si="7"/>
        <v>11.2</v>
      </c>
      <c r="E11" s="328">
        <v>11.0</v>
      </c>
      <c r="F11" s="325">
        <f t="shared" si="8"/>
        <v>24</v>
      </c>
      <c r="G11" s="323">
        <f t="shared" si="3"/>
        <v>0.72</v>
      </c>
      <c r="H11" s="325">
        <f>countif('バグ一覧'!D:D,"=A11")</f>
        <v>0</v>
      </c>
      <c r="I11" s="317">
        <f t="shared" si="9"/>
        <v>0</v>
      </c>
      <c r="J11" s="326">
        <f t="shared" si="4"/>
        <v>0</v>
      </c>
      <c r="K11" s="315">
        <v>0.0</v>
      </c>
      <c r="L11" s="315">
        <f t="shared" si="10"/>
        <v>1</v>
      </c>
      <c r="M11" s="315">
        <f t="shared" si="5"/>
        <v>-1</v>
      </c>
    </row>
    <row r="12">
      <c r="A12" s="327">
        <f t="shared" si="6"/>
        <v>45395</v>
      </c>
      <c r="B12" s="322">
        <f t="shared" si="1"/>
        <v>42</v>
      </c>
      <c r="C12" s="323">
        <f t="shared" si="2"/>
        <v>2.8</v>
      </c>
      <c r="D12" s="323">
        <f t="shared" si="7"/>
        <v>14</v>
      </c>
      <c r="E12" s="328">
        <v>12.0</v>
      </c>
      <c r="F12" s="325">
        <f t="shared" si="8"/>
        <v>36</v>
      </c>
      <c r="G12" s="323">
        <f t="shared" si="3"/>
        <v>1.08</v>
      </c>
      <c r="H12" s="325">
        <f>countif('バグ一覧'!D:D,"=A12")</f>
        <v>0</v>
      </c>
      <c r="I12" s="317">
        <f t="shared" si="9"/>
        <v>0</v>
      </c>
      <c r="J12" s="326">
        <f t="shared" si="4"/>
        <v>0</v>
      </c>
      <c r="K12" s="315">
        <v>1.0</v>
      </c>
      <c r="L12" s="315">
        <f t="shared" si="10"/>
        <v>2</v>
      </c>
      <c r="M12" s="315">
        <f t="shared" si="5"/>
        <v>-2</v>
      </c>
    </row>
    <row r="13">
      <c r="A13" s="327">
        <f t="shared" si="6"/>
        <v>45396</v>
      </c>
      <c r="B13" s="322">
        <f t="shared" si="1"/>
        <v>42</v>
      </c>
      <c r="C13" s="323">
        <f t="shared" si="2"/>
        <v>2.8</v>
      </c>
      <c r="D13" s="323">
        <f t="shared" si="7"/>
        <v>16.8</v>
      </c>
      <c r="E13" s="328">
        <v>8.0</v>
      </c>
      <c r="F13" s="325">
        <f t="shared" si="8"/>
        <v>44</v>
      </c>
      <c r="G13" s="323">
        <f t="shared" si="3"/>
        <v>1.32</v>
      </c>
      <c r="H13" s="325">
        <f>countif('バグ一覧'!D:D,"=A8")</f>
        <v>0</v>
      </c>
      <c r="I13" s="317">
        <f t="shared" si="9"/>
        <v>0</v>
      </c>
      <c r="J13" s="326">
        <f t="shared" si="4"/>
        <v>0</v>
      </c>
      <c r="K13" s="315">
        <v>1.0</v>
      </c>
      <c r="L13" s="315">
        <f t="shared" si="10"/>
        <v>3</v>
      </c>
      <c r="M13" s="315">
        <f t="shared" si="5"/>
        <v>-3</v>
      </c>
    </row>
    <row r="14">
      <c r="A14" s="327">
        <f t="shared" si="6"/>
        <v>45397</v>
      </c>
      <c r="B14" s="322">
        <f t="shared" si="1"/>
        <v>42</v>
      </c>
      <c r="C14" s="323">
        <f t="shared" si="2"/>
        <v>2.8</v>
      </c>
      <c r="D14" s="323">
        <f t="shared" si="7"/>
        <v>19.6</v>
      </c>
      <c r="E14" s="328">
        <v>9.0</v>
      </c>
      <c r="F14" s="325">
        <f t="shared" si="8"/>
        <v>53</v>
      </c>
      <c r="G14" s="323">
        <f t="shared" si="3"/>
        <v>1.59</v>
      </c>
      <c r="H14" s="325">
        <f>countif('バグ一覧'!D:D,"=A8")</f>
        <v>0</v>
      </c>
      <c r="I14" s="317">
        <f t="shared" si="9"/>
        <v>0</v>
      </c>
      <c r="J14" s="326">
        <f t="shared" si="4"/>
        <v>0</v>
      </c>
      <c r="K14" s="315">
        <v>0.0</v>
      </c>
      <c r="L14" s="315">
        <f t="shared" si="10"/>
        <v>3</v>
      </c>
      <c r="M14" s="315">
        <f t="shared" si="5"/>
        <v>-3</v>
      </c>
    </row>
    <row r="15">
      <c r="A15" s="327">
        <f t="shared" si="6"/>
        <v>45398</v>
      </c>
      <c r="B15" s="322">
        <f t="shared" si="1"/>
        <v>42</v>
      </c>
      <c r="C15" s="323">
        <f t="shared" si="2"/>
        <v>2.8</v>
      </c>
      <c r="D15" s="323">
        <f t="shared" si="7"/>
        <v>22.4</v>
      </c>
      <c r="E15" s="328">
        <v>10.0</v>
      </c>
      <c r="F15" s="325">
        <f t="shared" si="8"/>
        <v>63</v>
      </c>
      <c r="G15" s="323">
        <f t="shared" si="3"/>
        <v>1.89</v>
      </c>
      <c r="H15" s="325">
        <f>countif('バグ一覧'!D:D,"=A8")</f>
        <v>0</v>
      </c>
      <c r="I15" s="317">
        <f t="shared" si="9"/>
        <v>0</v>
      </c>
      <c r="J15" s="326">
        <f t="shared" si="4"/>
        <v>0</v>
      </c>
      <c r="K15" s="315">
        <v>0.0</v>
      </c>
      <c r="L15" s="315">
        <f t="shared" si="10"/>
        <v>3</v>
      </c>
      <c r="M15" s="315">
        <f t="shared" si="5"/>
        <v>-3</v>
      </c>
    </row>
    <row r="16">
      <c r="A16" s="327">
        <f t="shared" si="6"/>
        <v>45399</v>
      </c>
      <c r="B16" s="322">
        <f t="shared" si="1"/>
        <v>42</v>
      </c>
      <c r="C16" s="323">
        <f t="shared" si="2"/>
        <v>2.8</v>
      </c>
      <c r="D16" s="323">
        <f t="shared" si="7"/>
        <v>25.2</v>
      </c>
      <c r="E16" s="328">
        <v>11.0</v>
      </c>
      <c r="F16" s="325">
        <f t="shared" si="8"/>
        <v>74</v>
      </c>
      <c r="G16" s="323">
        <f t="shared" si="3"/>
        <v>2.22</v>
      </c>
      <c r="H16" s="325">
        <f>countif('バグ一覧'!D:D,"=A8")</f>
        <v>0</v>
      </c>
      <c r="I16" s="317">
        <f t="shared" si="9"/>
        <v>0</v>
      </c>
      <c r="J16" s="326">
        <f t="shared" si="4"/>
        <v>0</v>
      </c>
      <c r="K16" s="315">
        <v>1.0</v>
      </c>
      <c r="L16" s="315">
        <f t="shared" si="10"/>
        <v>4</v>
      </c>
      <c r="M16" s="315">
        <f t="shared" si="5"/>
        <v>-4</v>
      </c>
    </row>
    <row r="17">
      <c r="A17" s="327">
        <f t="shared" si="6"/>
        <v>45400</v>
      </c>
      <c r="B17" s="322">
        <f t="shared" si="1"/>
        <v>42</v>
      </c>
      <c r="C17" s="323">
        <f t="shared" si="2"/>
        <v>2.8</v>
      </c>
      <c r="D17" s="323">
        <f t="shared" si="7"/>
        <v>28</v>
      </c>
      <c r="E17" s="328">
        <v>12.0</v>
      </c>
      <c r="F17" s="325">
        <f t="shared" si="8"/>
        <v>86</v>
      </c>
      <c r="G17" s="323">
        <f t="shared" si="3"/>
        <v>2.58</v>
      </c>
      <c r="H17" s="325">
        <f>countif('バグ一覧'!D:D,"=A8")</f>
        <v>0</v>
      </c>
      <c r="I17" s="317">
        <f t="shared" si="9"/>
        <v>0</v>
      </c>
      <c r="J17" s="326">
        <f t="shared" si="4"/>
        <v>0</v>
      </c>
      <c r="K17" s="315">
        <v>1.0</v>
      </c>
      <c r="L17" s="315">
        <f t="shared" si="10"/>
        <v>5</v>
      </c>
      <c r="M17" s="315">
        <f t="shared" si="5"/>
        <v>-5</v>
      </c>
    </row>
    <row r="18">
      <c r="A18" s="327">
        <f t="shared" si="6"/>
        <v>45401</v>
      </c>
      <c r="B18" s="322">
        <f t="shared" si="1"/>
        <v>42</v>
      </c>
      <c r="C18" s="323">
        <f t="shared" si="2"/>
        <v>2.8</v>
      </c>
      <c r="D18" s="323">
        <f t="shared" si="7"/>
        <v>30.8</v>
      </c>
      <c r="E18" s="328">
        <v>8.0</v>
      </c>
      <c r="F18" s="325">
        <f t="shared" si="8"/>
        <v>94</v>
      </c>
      <c r="G18" s="323">
        <f t="shared" si="3"/>
        <v>2.82</v>
      </c>
      <c r="H18" s="325">
        <f>countif('バグ一覧'!D:D,"=A8")</f>
        <v>0</v>
      </c>
      <c r="I18" s="317">
        <f t="shared" si="9"/>
        <v>0</v>
      </c>
      <c r="J18" s="326">
        <f t="shared" si="4"/>
        <v>0</v>
      </c>
      <c r="K18" s="315">
        <v>1.0</v>
      </c>
      <c r="L18" s="315">
        <f t="shared" si="10"/>
        <v>6</v>
      </c>
      <c r="M18" s="315">
        <f t="shared" si="5"/>
        <v>-6</v>
      </c>
    </row>
    <row r="19">
      <c r="A19" s="327">
        <f t="shared" si="6"/>
        <v>45402</v>
      </c>
      <c r="B19" s="322">
        <f t="shared" si="1"/>
        <v>42</v>
      </c>
      <c r="C19" s="323">
        <f t="shared" si="2"/>
        <v>2.8</v>
      </c>
      <c r="D19" s="323">
        <f t="shared" si="7"/>
        <v>33.6</v>
      </c>
      <c r="E19" s="328">
        <v>9.0</v>
      </c>
      <c r="F19" s="325">
        <f t="shared" si="8"/>
        <v>103</v>
      </c>
      <c r="G19" s="323">
        <f t="shared" si="3"/>
        <v>3.09</v>
      </c>
      <c r="H19" s="325">
        <f>countif('バグ一覧'!D:D,"=A8")</f>
        <v>0</v>
      </c>
      <c r="I19" s="317">
        <f t="shared" si="9"/>
        <v>0</v>
      </c>
      <c r="J19" s="326">
        <f t="shared" si="4"/>
        <v>0</v>
      </c>
      <c r="K19" s="315">
        <v>0.0</v>
      </c>
      <c r="L19" s="315">
        <f t="shared" si="10"/>
        <v>6</v>
      </c>
      <c r="M19" s="315">
        <f t="shared" si="5"/>
        <v>-6</v>
      </c>
    </row>
    <row r="20">
      <c r="A20" s="327">
        <f t="shared" si="6"/>
        <v>45403</v>
      </c>
      <c r="B20" s="322">
        <f t="shared" si="1"/>
        <v>42</v>
      </c>
      <c r="C20" s="323">
        <f t="shared" si="2"/>
        <v>2.8</v>
      </c>
      <c r="D20" s="323">
        <f t="shared" si="7"/>
        <v>36.4</v>
      </c>
      <c r="E20" s="328">
        <v>10.0</v>
      </c>
      <c r="F20" s="325">
        <f t="shared" si="8"/>
        <v>113</v>
      </c>
      <c r="G20" s="323">
        <f t="shared" si="3"/>
        <v>3.39</v>
      </c>
      <c r="H20" s="325">
        <f>countif('バグ一覧'!D:D,"=A8")</f>
        <v>0</v>
      </c>
      <c r="I20" s="317">
        <f t="shared" si="9"/>
        <v>0</v>
      </c>
      <c r="J20" s="326">
        <f t="shared" si="4"/>
        <v>0</v>
      </c>
      <c r="K20" s="315">
        <v>2.0</v>
      </c>
      <c r="L20" s="315">
        <f t="shared" si="10"/>
        <v>8</v>
      </c>
      <c r="M20" s="315">
        <f t="shared" si="5"/>
        <v>-8</v>
      </c>
    </row>
    <row r="21">
      <c r="A21" s="327">
        <f t="shared" si="6"/>
        <v>45404</v>
      </c>
      <c r="B21" s="322">
        <f t="shared" si="1"/>
        <v>42</v>
      </c>
      <c r="C21" s="323">
        <f t="shared" si="2"/>
        <v>2.8</v>
      </c>
      <c r="D21" s="323">
        <f t="shared" si="7"/>
        <v>39.2</v>
      </c>
      <c r="E21" s="324">
        <v>20.0</v>
      </c>
      <c r="F21" s="325">
        <f t="shared" si="8"/>
        <v>133</v>
      </c>
      <c r="G21" s="323">
        <f t="shared" si="3"/>
        <v>3.99</v>
      </c>
      <c r="H21" s="325">
        <f>countif('バグ一覧'!D:D,"=A8")</f>
        <v>0</v>
      </c>
      <c r="I21" s="317">
        <f t="shared" si="9"/>
        <v>0</v>
      </c>
      <c r="J21" s="326">
        <f t="shared" si="4"/>
        <v>0</v>
      </c>
      <c r="K21" s="315">
        <v>1.0</v>
      </c>
      <c r="L21" s="315">
        <f t="shared" si="10"/>
        <v>9</v>
      </c>
      <c r="M21" s="315">
        <f t="shared" si="5"/>
        <v>-9</v>
      </c>
    </row>
    <row r="22">
      <c r="A22" s="327">
        <f t="shared" si="6"/>
        <v>45405</v>
      </c>
      <c r="B22" s="322">
        <f t="shared" si="1"/>
        <v>42</v>
      </c>
      <c r="C22" s="323">
        <f t="shared" si="2"/>
        <v>2.8</v>
      </c>
      <c r="D22" s="323">
        <f t="shared" si="7"/>
        <v>42</v>
      </c>
      <c r="E22" s="324">
        <v>20.0</v>
      </c>
      <c r="F22" s="325">
        <f t="shared" si="8"/>
        <v>153</v>
      </c>
      <c r="G22" s="323">
        <f t="shared" si="3"/>
        <v>4.59</v>
      </c>
      <c r="H22" s="325">
        <f>countif('バグ一覧'!D:D,"=A8")</f>
        <v>0</v>
      </c>
      <c r="I22" s="317">
        <f t="shared" si="9"/>
        <v>0</v>
      </c>
      <c r="J22" s="326">
        <f t="shared" si="4"/>
        <v>0</v>
      </c>
      <c r="K22" s="315">
        <v>0.0</v>
      </c>
      <c r="L22" s="315">
        <f t="shared" si="10"/>
        <v>9</v>
      </c>
      <c r="M22" s="315">
        <f t="shared" si="5"/>
        <v>-9</v>
      </c>
    </row>
    <row r="23">
      <c r="A23" s="317" t="s">
        <v>623</v>
      </c>
      <c r="B23" s="325"/>
      <c r="C23" s="323">
        <f>sum(C8:C22)</f>
        <v>42</v>
      </c>
      <c r="D23" s="325"/>
      <c r="E23" s="325">
        <f>sum(E8:E22)</f>
        <v>153</v>
      </c>
      <c r="F23" s="325">
        <f>MAX(F8:F22)</f>
        <v>153</v>
      </c>
      <c r="G23" s="329">
        <f>max(G8:G22)</f>
        <v>4.59</v>
      </c>
      <c r="H23" s="325">
        <f>sum(H8:H22)</f>
        <v>0</v>
      </c>
      <c r="I23" s="317">
        <f>max(I8:I22)</f>
        <v>0</v>
      </c>
      <c r="J23" s="325"/>
      <c r="K23" s="325">
        <f>sum(K8:K22)</f>
        <v>9</v>
      </c>
      <c r="L23" s="315">
        <f>max(L8:L22)</f>
        <v>9</v>
      </c>
      <c r="M23" s="3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30"/>
      <c r="B1" s="86"/>
      <c r="C1" s="86"/>
      <c r="D1" s="86"/>
      <c r="E1" s="86"/>
      <c r="F1" s="86"/>
      <c r="G1" s="86"/>
      <c r="H1" s="86"/>
      <c r="I1" s="86"/>
      <c r="J1" s="330"/>
      <c r="K1" s="86"/>
      <c r="L1" s="86"/>
      <c r="M1" s="86"/>
      <c r="N1" s="86"/>
      <c r="O1" s="86"/>
      <c r="P1" s="86"/>
      <c r="Q1" s="86"/>
      <c r="R1" s="86"/>
      <c r="S1" s="86"/>
      <c r="T1" s="86"/>
      <c r="U1" s="86"/>
      <c r="V1" s="86"/>
      <c r="W1" s="86"/>
      <c r="X1" s="86"/>
      <c r="Y1" s="86"/>
    </row>
    <row r="2">
      <c r="A2" s="331" t="s">
        <v>624</v>
      </c>
      <c r="B2" s="332"/>
      <c r="C2" s="332"/>
      <c r="D2" s="332"/>
      <c r="E2" s="332"/>
      <c r="F2" s="332"/>
      <c r="G2" s="332"/>
      <c r="H2" s="332"/>
      <c r="I2" s="332"/>
      <c r="J2" s="333"/>
      <c r="K2" s="332"/>
      <c r="L2" s="332"/>
      <c r="M2" s="332"/>
      <c r="N2" s="332"/>
      <c r="O2" s="332"/>
      <c r="P2" s="332"/>
      <c r="Q2" s="332"/>
      <c r="R2" s="332"/>
      <c r="S2" s="332"/>
      <c r="T2" s="332"/>
      <c r="U2" s="332"/>
      <c r="V2" s="332"/>
      <c r="W2" s="332"/>
      <c r="X2" s="332"/>
      <c r="Y2" s="332"/>
    </row>
    <row r="3">
      <c r="A3" s="334"/>
      <c r="B3" s="284"/>
      <c r="C3" s="284"/>
      <c r="D3" s="282"/>
      <c r="E3" s="335" t="s">
        <v>625</v>
      </c>
      <c r="F3" s="335" t="s">
        <v>626</v>
      </c>
      <c r="G3" s="335" t="s">
        <v>627</v>
      </c>
      <c r="H3" s="335" t="s">
        <v>575</v>
      </c>
      <c r="I3" s="86"/>
      <c r="J3" s="86"/>
      <c r="K3" s="86"/>
      <c r="L3" s="86"/>
      <c r="M3" s="86"/>
      <c r="N3" s="86"/>
      <c r="O3" s="86"/>
      <c r="P3" s="86"/>
      <c r="Q3" s="86"/>
      <c r="R3" s="86"/>
      <c r="S3" s="86"/>
      <c r="T3" s="86"/>
      <c r="U3" s="86"/>
      <c r="V3" s="86"/>
      <c r="W3" s="86"/>
      <c r="X3" s="86"/>
      <c r="Y3" s="86"/>
    </row>
    <row r="4">
      <c r="A4" s="336" t="s">
        <v>628</v>
      </c>
      <c r="B4" s="284" t="s">
        <v>597</v>
      </c>
      <c r="C4" s="337"/>
      <c r="D4" s="293"/>
      <c r="E4" s="338">
        <v>100.0</v>
      </c>
      <c r="F4" s="339" t="str">
        <f>sum(#REF!)</f>
        <v>#REF!</v>
      </c>
      <c r="G4" s="339" t="str">
        <f>F4/E4%</f>
        <v>#REF!</v>
      </c>
      <c r="H4" s="282" t="s">
        <v>629</v>
      </c>
      <c r="I4" s="86"/>
      <c r="J4" s="86"/>
      <c r="K4" s="86"/>
      <c r="L4" s="86"/>
      <c r="M4" s="86"/>
      <c r="N4" s="86"/>
      <c r="O4" s="86"/>
      <c r="P4" s="86"/>
      <c r="Q4" s="86"/>
      <c r="R4" s="86"/>
      <c r="S4" s="86"/>
      <c r="T4" s="86"/>
      <c r="U4" s="86"/>
      <c r="V4" s="86"/>
      <c r="W4" s="86"/>
      <c r="X4" s="86"/>
      <c r="Y4" s="86"/>
    </row>
    <row r="5">
      <c r="A5" s="336" t="s">
        <v>630</v>
      </c>
      <c r="B5" s="340"/>
      <c r="C5" s="337"/>
      <c r="D5" s="293"/>
      <c r="E5" s="282" t="s">
        <v>42</v>
      </c>
      <c r="F5" s="282" t="s">
        <v>42</v>
      </c>
      <c r="G5" s="282" t="s">
        <v>42</v>
      </c>
      <c r="H5" s="282" t="s">
        <v>42</v>
      </c>
      <c r="I5" s="86"/>
      <c r="J5" s="86"/>
      <c r="K5" s="86"/>
      <c r="L5" s="86"/>
      <c r="M5" s="86"/>
      <c r="N5" s="86"/>
      <c r="O5" s="86"/>
      <c r="P5" s="86"/>
      <c r="Q5" s="86"/>
      <c r="R5" s="86"/>
      <c r="S5" s="86"/>
      <c r="T5" s="86"/>
      <c r="U5" s="86"/>
      <c r="V5" s="86"/>
      <c r="W5" s="86"/>
      <c r="X5" s="86"/>
      <c r="Y5" s="86"/>
    </row>
    <row r="6">
      <c r="A6" s="330"/>
      <c r="B6" s="86"/>
      <c r="C6" s="86"/>
      <c r="D6" s="86"/>
      <c r="E6" s="86"/>
      <c r="F6" s="86"/>
      <c r="G6" s="86"/>
      <c r="H6" s="86"/>
      <c r="I6" s="86"/>
      <c r="J6" s="86"/>
      <c r="K6" s="86"/>
      <c r="L6" s="86"/>
      <c r="M6" s="86"/>
      <c r="N6" s="86"/>
      <c r="O6" s="86"/>
      <c r="P6" s="86"/>
      <c r="Q6" s="86"/>
      <c r="R6" s="86"/>
      <c r="S6" s="86"/>
      <c r="T6" s="86"/>
      <c r="U6" s="86"/>
      <c r="V6" s="86"/>
      <c r="W6" s="86"/>
      <c r="X6" s="86"/>
      <c r="Y6" s="86"/>
    </row>
    <row r="7">
      <c r="A7" s="331" t="s">
        <v>631</v>
      </c>
      <c r="B7" s="332"/>
      <c r="C7" s="332"/>
      <c r="D7" s="332"/>
      <c r="E7" s="332"/>
      <c r="F7" s="332"/>
      <c r="G7" s="332"/>
      <c r="H7" s="332"/>
      <c r="I7" s="332"/>
      <c r="J7" s="333"/>
      <c r="K7" s="332"/>
      <c r="L7" s="332"/>
      <c r="M7" s="332"/>
      <c r="N7" s="332"/>
      <c r="O7" s="332"/>
      <c r="P7" s="332"/>
      <c r="Q7" s="332"/>
      <c r="R7" s="332"/>
      <c r="S7" s="332"/>
      <c r="T7" s="332"/>
      <c r="U7" s="332"/>
      <c r="V7" s="332"/>
      <c r="W7" s="332"/>
      <c r="X7" s="332"/>
      <c r="Y7" s="332"/>
    </row>
    <row r="8">
      <c r="E8" s="341" t="s">
        <v>625</v>
      </c>
      <c r="F8" s="341" t="s">
        <v>626</v>
      </c>
      <c r="G8" s="341" t="s">
        <v>627</v>
      </c>
      <c r="H8" s="341" t="s">
        <v>575</v>
      </c>
    </row>
    <row r="9">
      <c r="A9" s="105" t="s">
        <v>628</v>
      </c>
      <c r="B9" s="342" t="s">
        <v>597</v>
      </c>
      <c r="C9" s="343"/>
      <c r="D9" s="286"/>
      <c r="E9" s="273">
        <v>100.0</v>
      </c>
      <c r="F9" s="238" t="str">
        <f>sum(#REF!)</f>
        <v>#REF!</v>
      </c>
      <c r="G9" s="238" t="str">
        <f>F9/E9%</f>
        <v>#REF!</v>
      </c>
      <c r="H9" s="105" t="s">
        <v>629</v>
      </c>
    </row>
    <row r="10">
      <c r="A10" s="105" t="s">
        <v>630</v>
      </c>
      <c r="B10" s="344"/>
      <c r="C10" s="343"/>
      <c r="D10" s="286"/>
      <c r="E10" s="105" t="s">
        <v>42</v>
      </c>
      <c r="F10" s="105" t="s">
        <v>42</v>
      </c>
      <c r="G10" s="105" t="s">
        <v>42</v>
      </c>
      <c r="H10" s="105"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31" t="s">
        <v>632</v>
      </c>
      <c r="B1" s="332"/>
      <c r="C1" s="332"/>
      <c r="D1" s="332"/>
      <c r="E1" s="332"/>
      <c r="F1" s="332"/>
      <c r="G1" s="332"/>
      <c r="H1" s="332"/>
      <c r="I1" s="332"/>
      <c r="J1" s="333"/>
      <c r="K1" s="332"/>
      <c r="L1" s="332"/>
      <c r="M1" s="332"/>
      <c r="N1" s="332"/>
      <c r="O1" s="332"/>
      <c r="P1" s="332"/>
      <c r="Q1" s="332"/>
      <c r="R1" s="332"/>
      <c r="S1" s="332"/>
      <c r="T1" s="332"/>
      <c r="U1" s="332"/>
      <c r="V1" s="332"/>
      <c r="W1" s="332"/>
      <c r="X1" s="332"/>
      <c r="Y1" s="332"/>
    </row>
    <row r="2">
      <c r="A2" s="334"/>
      <c r="B2" s="284"/>
      <c r="C2" s="284"/>
      <c r="D2" s="282"/>
      <c r="E2" s="335" t="s">
        <v>625</v>
      </c>
      <c r="F2" s="345" t="s">
        <v>633</v>
      </c>
      <c r="G2" s="335" t="s">
        <v>627</v>
      </c>
      <c r="H2" s="335" t="s">
        <v>575</v>
      </c>
      <c r="I2" s="86"/>
      <c r="J2" s="86"/>
      <c r="K2" s="86"/>
      <c r="L2" s="86"/>
      <c r="M2" s="86"/>
      <c r="N2" s="86"/>
      <c r="O2" s="86"/>
      <c r="P2" s="86"/>
      <c r="Q2" s="86"/>
      <c r="R2" s="86"/>
      <c r="S2" s="86"/>
      <c r="T2" s="86"/>
      <c r="U2" s="86"/>
      <c r="V2" s="86"/>
      <c r="W2" s="86"/>
      <c r="X2" s="86"/>
      <c r="Y2" s="86"/>
    </row>
    <row r="3">
      <c r="A3" s="336" t="s">
        <v>628</v>
      </c>
      <c r="B3" s="346" t="s">
        <v>634</v>
      </c>
      <c r="C3" s="337"/>
      <c r="D3" s="293"/>
      <c r="E3" s="347">
        <v>240.0</v>
      </c>
      <c r="F3" s="348">
        <v>42.0</v>
      </c>
      <c r="G3" s="339">
        <f>E3/F3</f>
        <v>5.714285714</v>
      </c>
      <c r="H3" s="282"/>
      <c r="I3" s="316" t="s">
        <v>578</v>
      </c>
      <c r="J3" s="86"/>
      <c r="K3" s="86"/>
      <c r="L3" s="86"/>
      <c r="M3" s="86"/>
      <c r="N3" s="86"/>
      <c r="O3" s="86"/>
      <c r="P3" s="86"/>
      <c r="Q3" s="86"/>
      <c r="R3" s="86"/>
      <c r="S3" s="86"/>
      <c r="T3" s="86"/>
      <c r="U3" s="86"/>
      <c r="V3" s="86"/>
      <c r="W3" s="86"/>
      <c r="X3" s="86"/>
      <c r="Y3" s="86"/>
    </row>
    <row r="4">
      <c r="A4" s="336" t="s">
        <v>630</v>
      </c>
      <c r="B4" s="340"/>
      <c r="C4" s="337"/>
      <c r="D4" s="293"/>
      <c r="E4" s="282" t="s">
        <v>42</v>
      </c>
      <c r="F4" s="282" t="s">
        <v>42</v>
      </c>
      <c r="G4" s="282" t="s">
        <v>42</v>
      </c>
      <c r="H4" s="282" t="s">
        <v>42</v>
      </c>
      <c r="I4" s="86"/>
      <c r="J4" s="86"/>
      <c r="K4" s="86"/>
      <c r="L4" s="86"/>
      <c r="M4" s="86"/>
      <c r="N4" s="86"/>
      <c r="O4" s="86"/>
      <c r="P4" s="86"/>
      <c r="Q4" s="86"/>
      <c r="R4" s="86"/>
      <c r="S4" s="86"/>
      <c r="T4" s="86"/>
      <c r="U4" s="86"/>
      <c r="V4" s="86"/>
      <c r="W4" s="86"/>
      <c r="X4" s="86"/>
      <c r="Y4" s="86"/>
    </row>
    <row r="5">
      <c r="A5" s="349" t="s">
        <v>635</v>
      </c>
      <c r="B5" s="340"/>
      <c r="C5" s="337"/>
      <c r="D5" s="293"/>
      <c r="E5" s="350" t="s">
        <v>636</v>
      </c>
      <c r="F5" s="282" t="s">
        <v>42</v>
      </c>
      <c r="G5" s="282" t="s">
        <v>42</v>
      </c>
      <c r="H5" s="282" t="s">
        <v>42</v>
      </c>
    </row>
    <row r="7">
      <c r="A7" s="331" t="s">
        <v>637</v>
      </c>
      <c r="B7" s="332"/>
      <c r="C7" s="332"/>
      <c r="D7" s="332"/>
      <c r="E7" s="332"/>
      <c r="F7" s="332"/>
      <c r="G7" s="332"/>
      <c r="H7" s="332"/>
      <c r="I7" s="332"/>
      <c r="J7" s="333"/>
      <c r="K7" s="332"/>
      <c r="L7" s="332"/>
      <c r="M7" s="332"/>
      <c r="N7" s="332"/>
      <c r="O7" s="332"/>
      <c r="P7" s="332"/>
      <c r="Q7" s="332"/>
      <c r="R7" s="332"/>
      <c r="S7" s="332"/>
      <c r="T7" s="332"/>
      <c r="U7" s="332"/>
      <c r="V7" s="332"/>
      <c r="W7" s="332"/>
      <c r="X7" s="332"/>
      <c r="Y7" s="332"/>
    </row>
    <row r="8">
      <c r="A8" s="334"/>
      <c r="B8" s="284"/>
      <c r="C8" s="284"/>
      <c r="D8" s="282"/>
      <c r="E8" s="345" t="s">
        <v>626</v>
      </c>
      <c r="F8" s="345" t="s">
        <v>633</v>
      </c>
      <c r="G8" s="335" t="s">
        <v>627</v>
      </c>
      <c r="H8" s="335" t="s">
        <v>575</v>
      </c>
      <c r="I8" s="86"/>
      <c r="J8" s="86"/>
      <c r="K8" s="86"/>
      <c r="L8" s="86"/>
      <c r="M8" s="86"/>
      <c r="N8" s="86"/>
      <c r="O8" s="86"/>
      <c r="P8" s="86"/>
      <c r="Q8" s="86"/>
      <c r="R8" s="86"/>
      <c r="S8" s="86"/>
      <c r="T8" s="86"/>
      <c r="U8" s="86"/>
      <c r="V8" s="86"/>
      <c r="W8" s="86"/>
      <c r="X8" s="86"/>
      <c r="Y8" s="86"/>
    </row>
    <row r="9">
      <c r="A9" s="336" t="s">
        <v>628</v>
      </c>
      <c r="B9" s="346" t="s">
        <v>581</v>
      </c>
      <c r="C9" s="337"/>
      <c r="D9" s="293"/>
      <c r="E9" s="347">
        <v>5.0</v>
      </c>
      <c r="F9" s="348">
        <v>60.0</v>
      </c>
      <c r="G9" s="339">
        <f>E9/F9</f>
        <v>0.08333333333</v>
      </c>
      <c r="H9" s="282" t="s">
        <v>629</v>
      </c>
      <c r="I9" s="86"/>
      <c r="J9" s="86"/>
      <c r="K9" s="86"/>
      <c r="L9" s="86"/>
      <c r="M9" s="86"/>
      <c r="N9" s="86"/>
      <c r="O9" s="86"/>
      <c r="P9" s="86"/>
      <c r="Q9" s="86"/>
      <c r="R9" s="86"/>
      <c r="S9" s="86"/>
      <c r="T9" s="86"/>
      <c r="U9" s="86"/>
      <c r="V9" s="86"/>
      <c r="W9" s="86"/>
      <c r="X9" s="86"/>
      <c r="Y9" s="86"/>
    </row>
    <row r="10">
      <c r="A10" s="336" t="s">
        <v>630</v>
      </c>
      <c r="B10" s="340"/>
      <c r="C10" s="337"/>
      <c r="D10" s="293"/>
      <c r="E10" s="282" t="s">
        <v>42</v>
      </c>
      <c r="F10" s="282" t="s">
        <v>42</v>
      </c>
      <c r="G10" s="282" t="s">
        <v>42</v>
      </c>
      <c r="H10" s="282" t="s">
        <v>42</v>
      </c>
      <c r="I10" s="86"/>
      <c r="J10" s="86"/>
      <c r="K10" s="86"/>
      <c r="L10" s="86"/>
      <c r="M10" s="86"/>
      <c r="N10" s="86"/>
      <c r="O10" s="86"/>
      <c r="P10" s="86"/>
      <c r="Q10" s="86"/>
      <c r="R10" s="86"/>
      <c r="S10" s="86"/>
      <c r="T10" s="86"/>
      <c r="U10" s="86"/>
      <c r="V10" s="86"/>
      <c r="W10" s="86"/>
      <c r="X10" s="86"/>
      <c r="Y10" s="86"/>
    </row>
    <row r="12">
      <c r="A12" s="331" t="s">
        <v>638</v>
      </c>
      <c r="B12" s="332"/>
      <c r="C12" s="332"/>
      <c r="D12" s="332"/>
      <c r="E12" s="332"/>
      <c r="F12" s="332"/>
      <c r="G12" s="332"/>
      <c r="H12" s="332"/>
      <c r="I12" s="332"/>
      <c r="J12" s="333"/>
      <c r="K12" s="332"/>
      <c r="L12" s="332"/>
      <c r="M12" s="332"/>
      <c r="N12" s="332"/>
      <c r="O12" s="332"/>
      <c r="P12" s="332"/>
      <c r="Q12" s="332"/>
      <c r="R12" s="332"/>
      <c r="S12" s="332"/>
      <c r="T12" s="332"/>
      <c r="U12" s="332"/>
      <c r="V12" s="332"/>
      <c r="W12" s="332"/>
      <c r="X12" s="332"/>
      <c r="Y12" s="332"/>
    </row>
    <row r="13">
      <c r="A13" s="334"/>
      <c r="B13" s="284"/>
      <c r="C13" s="284"/>
      <c r="D13" s="282"/>
      <c r="E13" s="345" t="s">
        <v>639</v>
      </c>
      <c r="F13" s="345" t="s">
        <v>640</v>
      </c>
      <c r="G13" s="335" t="s">
        <v>627</v>
      </c>
      <c r="H13" s="335" t="s">
        <v>575</v>
      </c>
      <c r="I13" s="86"/>
      <c r="J13" s="86"/>
      <c r="K13" s="86"/>
      <c r="L13" s="86"/>
      <c r="M13" s="86"/>
      <c r="N13" s="86"/>
      <c r="O13" s="86"/>
      <c r="P13" s="86"/>
      <c r="Q13" s="86"/>
      <c r="R13" s="86"/>
      <c r="S13" s="86"/>
      <c r="T13" s="86"/>
      <c r="U13" s="86"/>
      <c r="V13" s="86"/>
      <c r="W13" s="86"/>
      <c r="X13" s="86"/>
      <c r="Y13" s="86"/>
    </row>
    <row r="14">
      <c r="A14" s="336" t="s">
        <v>628</v>
      </c>
      <c r="B14" s="346" t="s">
        <v>589</v>
      </c>
      <c r="C14" s="337"/>
      <c r="D14" s="293"/>
      <c r="E14" s="347">
        <v>240.0</v>
      </c>
      <c r="F14" s="348">
        <v>60.0</v>
      </c>
      <c r="G14" s="339">
        <f>E14/F14</f>
        <v>4</v>
      </c>
      <c r="H14" s="351" t="s">
        <v>590</v>
      </c>
      <c r="I14" s="86"/>
      <c r="J14" s="86"/>
      <c r="K14" s="86"/>
      <c r="L14" s="86"/>
      <c r="M14" s="86"/>
      <c r="N14" s="86"/>
      <c r="O14" s="86"/>
      <c r="P14" s="86"/>
      <c r="Q14" s="86"/>
      <c r="R14" s="86"/>
      <c r="S14" s="86"/>
      <c r="T14" s="86"/>
      <c r="U14" s="86"/>
      <c r="V14" s="86"/>
      <c r="W14" s="86"/>
      <c r="X14" s="86"/>
      <c r="Y14" s="86"/>
    </row>
    <row r="15">
      <c r="A15" s="336" t="s">
        <v>630</v>
      </c>
      <c r="B15" s="340"/>
      <c r="C15" s="337"/>
      <c r="D15" s="293"/>
      <c r="E15" s="282" t="s">
        <v>42</v>
      </c>
      <c r="F15" s="282" t="s">
        <v>42</v>
      </c>
      <c r="G15" s="282" t="s">
        <v>42</v>
      </c>
      <c r="H15" s="282" t="s">
        <v>42</v>
      </c>
      <c r="I15" s="86"/>
      <c r="J15" s="86"/>
      <c r="K15" s="86"/>
      <c r="L15" s="86"/>
      <c r="M15" s="86"/>
      <c r="N15" s="86"/>
      <c r="O15" s="86"/>
      <c r="P15" s="86"/>
      <c r="Q15" s="86"/>
      <c r="R15" s="86"/>
      <c r="S15" s="86"/>
      <c r="T15" s="86"/>
      <c r="U15" s="86"/>
      <c r="V15" s="86"/>
      <c r="W15" s="86"/>
      <c r="X15" s="86"/>
      <c r="Y15" s="86"/>
    </row>
    <row r="17">
      <c r="A17" s="92" t="s">
        <v>641</v>
      </c>
    </row>
    <row r="18">
      <c r="A18" s="58" t="s">
        <v>642</v>
      </c>
      <c r="B18" s="58">
        <v>60.0</v>
      </c>
    </row>
    <row r="19">
      <c r="A19" s="58" t="s">
        <v>643</v>
      </c>
      <c r="B19" s="58" t="s">
        <v>644</v>
      </c>
      <c r="C19" s="58" t="s">
        <v>645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