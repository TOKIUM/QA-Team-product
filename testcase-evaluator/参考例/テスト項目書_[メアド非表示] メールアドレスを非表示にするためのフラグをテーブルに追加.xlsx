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 sheetId="2" r:id="rId6"/>
    <sheet state="visible" name="テストケース" sheetId="3" r:id="rId7"/>
    <sheet state="visible" name="進捗" sheetId="4" r:id="rId8"/>
    <sheet state="hidden" name="質問・レビュー指摘_振り返り" sheetId="5" r:id="rId9"/>
    <sheet state="visible" name="チェック表" sheetId="6" r:id="rId10"/>
    <sheet state="hidden" name="レビュー＆質問" sheetId="7" r:id="rId11"/>
    <sheet state="hidden" name="バグ一覧" sheetId="8" r:id="rId12"/>
    <sheet state="hidden" name="old_チェック表" sheetId="9" r:id="rId13"/>
    <sheet state="hidden" name="【修正中】バグ発生率" sheetId="10" r:id="rId14"/>
    <sheet state="hidden" name="【修正中】テスト結果評価_テンプレ" sheetId="11" r:id="rId15"/>
    <sheet state="hidden" name="【修正中】テスト有効性評価_テンプレ"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tc={46a16762-d109-491b-943a-02b2c5c22467}</author>
  </authors>
  <commentList>
    <comment authorId="0" xr:uid="{46a16762-d109-491b-943a-02b2c5c22467}" ref="A1">
      <text>
        <t xml:space="preserve">[Threaded comment]
 Your version of Excel allows you to read this threaded comment; however, any edits to it will get removed if the file is opened in a newer version of Excel. Learn more: https://go.microsoft.com/fwlink/?linkid=870924
Comment:
	こちらも発注稟議作成画面での確認ではなく、その先の「承認者を追加」の画面での確認になると思うので修正をお願いします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tc={46f97d8a-7161-4a91-b6b8-23916f2376b9}</author>
    <author>tc={68d9fdf3-2194-4172-ada8-80ab73558b23}</author>
    <author>tc={6d3ed22f-92a8-4ee0-9c54-b5b232ca56d8}</author>
    <author>tc={8437ac24-ffda-4421-8331-e0365eacb17a}</author>
    <author>tc={8b756ce8-c90e-4867-98ab-a0a5e1c1ef08}</author>
    <author>tc={978b136c-ef53-420d-952b-3255e2a92f55}</author>
    <author>tc={b1314654-b887-48d4-9d8a-89a519212626}</author>
    <author>tc={c4300a1e-354e-4525-98d7-daeb6860ec1c}</author>
    <author>tc={cdff3b4f-6f0b-49a8-83e3-80d02336e5f9}</author>
    <author>tc={f588000d-d43a-4a3f-a8f6-0c5b3fee5f27}</author>
  </authors>
  <commentList>
    <comment authorId="0" xr:uid="{46f97d8a-7161-4a91-b6b8-23916f2376b9}" ref="K36">
      <text>
        <t xml:space="preserve">[Threaded comment]
 Your version of Excel allows you to read this threaded comment; however, any edits to it will get removed if the file is opened in a newer version of Excel. Learn more: https://go.microsoft.com/fwlink/?linkid=870924
Comment:
	これは画面の名前だと思うので、ここが「メールアドレス」になると思います
メールアドレス以外に確認するものはないでしょうか？
</t>
      </text>
    </comment>
    <comment authorId="1" xr:uid="{68d9fdf3-2194-4172-ada8-80ab73558b23}" ref="I48">
      <text>
        <t xml:space="preserve">[Threaded comment]
 Your version of Excel allows you to read this threaded comment; however, any edits to it will get removed if the file is opened in a newer version of Excel. Learn more: https://go.microsoft.com/fwlink/?linkid=870924
Comment:
	従業員一覧画面の「従業員」に表示されているメールアドレスを確認する項目だと思うので、ここは「従業員」としたいです
</t>
      </text>
    </comment>
    <comment authorId="2" xr:uid="{6d3ed22f-92a8-4ee0-9c54-b5b232ca56d8}" ref="F37">
      <text>
        <t xml:space="preserve">[Threaded comment]
 Your version of Excel allows you to read this threaded comment; however, any edits to it will get removed if the file is opened in a newer version of Excel. Learn more: https://go.microsoft.com/fwlink/?linkid=870924
Comment:
	請求書詳細から承認者の追加画面ってどこからいけますか？
</t>
      </text>
    </comment>
    <comment authorId="3" xr:uid="{8437ac24-ffda-4421-8331-e0365eacb17a}" ref="F41">
      <text>
        <t xml:space="preserve">[Threaded comment]
 Your version of Excel allows you to read this threaded comment; however, any edits to it will get removed if the file is opened in a newer version of Excel. Learn more: https://go.microsoft.com/fwlink/?linkid=870924
Comment:
	上記と同様
</t>
      </text>
    </comment>
    <comment authorId="4" xr:uid="{8b756ce8-c90e-4867-98ab-a0a5e1c1ef08}" ref="F39">
      <text>
        <t xml:space="preserve">[Threaded comment]
 Your version of Excel allows you to read this threaded comment; however, any edits to it will get removed if the file is opened in a newer version of Excel. Learn more: https://go.microsoft.com/fwlink/?linkid=870924
Comment:
	上記と同様
</t>
      </text>
    </comment>
    <comment authorId="5" xr:uid="{978b136c-ef53-420d-952b-3255e2a92f55}" ref="I36">
      <text>
        <t xml:space="preserve">[Threaded comment]
 Your version of Excel allows you to read this threaded comment; however, any edits to it will get removed if the file is opened in a newer version of Excel. Learn more: https://go.microsoft.com/fwlink/?linkid=870924
Comment:
	確認する対象は「承認者を追加」モーダルに表示される承認者の一覧なので、ここは「承認者の一覧」としたいです
</t>
      </text>
    </comment>
    <comment authorId="6" xr:uid="{b1314654-b887-48d4-9d8a-89a519212626}" ref="F40">
      <text>
        <t xml:space="preserve">[Threaded comment]
 Your version of Excel allows you to read this threaded comment; however, any edits to it will get removed if the file is opened in a newer version of Excel. Learn more: https://go.microsoft.com/fwlink/?linkid=870924
Comment:
	上記と同様
</t>
      </text>
    </comment>
    <comment authorId="7" xr:uid="{c4300a1e-354e-4525-98d7-daeb6860ec1c}" ref="F36">
      <text>
        <t xml:space="preserve">[Threaded comment]
 Your version of Excel allows you to read this threaded comment; however, any edits to it will get removed if the file is opened in a newer version of Excel. Learn more: https://go.microsoft.com/fwlink/?linkid=870924
Comment:
	基本的には確認する対象の画面名だけ書きたいのですが、今回のテスト対象の「承認者を追加」は他の画面から遷移した場合も同じ名前になっていて区別がつかないので、経費&gt;申請&gt;承認者を追加
としたいです
</t>
      </text>
    </comment>
    <comment authorId="8" xr:uid="{cdff3b4f-6f0b-49a8-83e3-80d02336e5f9}" ref="F38">
      <text>
        <t xml:space="preserve">[Threaded comment]
 Your version of Excel allows you to read this threaded comment; however, any edits to it will get removed if the file is opened in a newer version of Excel. Learn more: https://go.microsoft.com/fwlink/?linkid=870924
Comment:
	こちらも事前申請の画面ではなく「承認者を追加」の画面での確認になると思うので修正をお願いします
</t>
      </text>
    </comment>
    <comment authorId="9" xr:uid="{f588000d-d43a-4a3f-a8f6-0c5b3fee5f27}" ref="K48">
      <text>
        <t xml:space="preserve">[Threaded comment]
 Your version of Excel allows you to read this threaded comment; however, any edits to it will get removed if the file is opened in a newer version of Excel. Learn more: https://go.microsoft.com/fwlink/?linkid=870924
Comment:
	従業員一覧の従業員列に表示されているメールアドレスを確認する項目だと思うので、ここをメールアドレスとしたいです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tc={5f56bc58-8b6f-4a19-8276-b6813488dc3a}</author>
    <author>tc={84fb29ff-c107-491a-9593-a19af29606c3}</author>
    <author>tc={cad5d7da-7842-43ad-809c-d854b9477335}</author>
  </authors>
  <commentList>
    <comment authorId="0" xr:uid="{5f56bc58-8b6f-4a19-8276-b6813488dc3a}" ref="N5">
      <text>
        <t xml:space="preserve">[Threaded comment]
 Your version of Excel allows you to read this threaded comment; however, any edits to it will get removed if the file is opened in a newer version of Excel. Learn more: https://go.microsoft.com/fwlink/?linkid=870924
Comment:
	対象外とした理由を記載してほしいです
Reply:
	TK単体には請求書項目がないため対象外にしております
</t>
      </text>
    </comment>
    <comment authorId="1" xr:uid="{84fb29ff-c107-491a-9593-a19af29606c3}" ref="L5">
      <text>
        <t xml:space="preserve">[Threaded comment]
 Your version of Excel allows you to read this threaded comment; however, any edits to it will get removed if the file is opened in a newer version of Excel. Learn more: https://go.microsoft.com/fwlink/?linkid=870924
Comment:
	対象外とした理由を記載してほしいです
Reply:
	TK+TDには請求書項目がないため対象外にしております
</t>
      </text>
    </comment>
    <comment authorId="2" xr:uid="{cad5d7da-7842-43ad-809c-d854b9477335}" ref="M4">
      <text>
        <t xml:space="preserve">[Threaded comment]
 Your version of Excel allows you to read this threaded comment; however, any edits to it will get removed if the file is opened in a newer version of Excel. Learn more: https://go.microsoft.com/fwlink/?linkid=870924
Comment:
	対象外とした理由を記載してほしいです
Reply:
	TI+TDには経費項目がないため対象外にしております
</t>
      </text>
    </comment>
  </commentList>
</comments>
</file>

<file path=xl/sharedStrings.xml><?xml version="1.0" encoding="utf-8"?>
<sst xmlns="http://schemas.openxmlformats.org/spreadsheetml/2006/main" count="2095" uniqueCount="620">
  <si>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</si>
  <si>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</si>
  <si>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</si>
  <si>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</si>
  <si>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</si>
  <si>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</si>
  <si>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</si>
  <si>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</si>
  <si>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</si>
  <si>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</si>
  <si>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</si>
  <si>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</si>
  <si>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</si>
  <si>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</si>
  <si>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</si>
  <si>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</si>
  <si>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</si>
  <si>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</si>
  <si>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</si>
  <si>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</si>
  <si>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</si>
  <si>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</si>
  <si>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</si>
  <si>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</si>
  <si>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</si>
  <si>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</si>
  <si>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</si>
  <si>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</si>
  <si>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</si>
  <si>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</si>
  <si>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</si>
  <si>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</si>
  <si>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</si>
  <si>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</si>
  <si>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</si>
  <si>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</si>
  <si>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</si>
  <si>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</si>
  <si>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</si>
  <si>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</si>
  <si>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</si>
  <si>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</si>
  <si>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</si>
  <si>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</si>
  <si>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</si>
  <si>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</si>
  <si>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</si>
  <si>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</si>
  <si>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</si>
  <si>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</si>
  <si>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</si>
  <si>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</si>
  <si>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</si>
  <si>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</si>
  <si>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</si>
  <si>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</si>
  <si>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</si>
  <si>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</si>
  <si>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</si>
  <si>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</si>
  <si>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</si>
  <si>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</si>
  <si>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</si>
  <si>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</si>
  <si>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</si>
  <si>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</si>
  <si>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</si>
  <si>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</si>
  <si>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</si>
  <si>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</si>
  <si>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</si>
  <si>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</si>
  <si>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</si>
  <si>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</si>
  <si>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</si>
  <si>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</si>
  <si>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</si>
  <si>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</si>
  <si>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</si>
  <si>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</si>
  <si>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</si>
  <si>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</si>
  <si>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</si>
  <si>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</si>
  <si>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</si>
  <si>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</si>
  <si>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</si>
  <si>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</si>
  <si>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</si>
  <si>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</si>
  <si>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</si>
  <si>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</si>
  <si>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</si>
  <si>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</si>
  <si>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</si>
  <si>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</si>
  <si>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</si>
  <si>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</si>
  <si>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環境：dev-ti.keihi.com（TI専用環境）</t>
  </si>
  <si>
    <t>開発チケット：</t>
  </si>
  <si>
    <t>https://beartail.atlassian.net/browse/IP-7261</t>
  </si>
  <si>
    <t>必要なテスト観点：既存機能への影響（リグレッション観点）</t>
  </si>
  <si>
    <t>要件ページ：</t>
  </si>
  <si>
    <t>QA依頼：</t>
  </si>
  <si>
    <t>https://beartail.slack.com/archives/C02QY42J0UE/p1752194948661429</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</si>
  <si>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</si>
  <si>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</si>
  <si>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</si>
  <si>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</si>
  <si>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</si>
  <si>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</si>
  <si>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</si>
  <si>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</si>
  <si>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</si>
  <si>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</si>
  <si>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</si>
  <si>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</si>
  <si>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</si>
  <si>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</si>
  <si>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</si>
  <si>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</si>
  <si>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</si>
  <si>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</si>
  <si>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</si>
  <si>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</si>
  <si>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</si>
  <si>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</si>
  <si>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</si>
  <si>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</si>
  <si>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</si>
  <si>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</si>
  <si>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</si>
  <si>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</si>
  <si>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</si>
  <si>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</si>
  <si>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</si>
  <si>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</si>
  <si>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</si>
  <si>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</si>
  <si>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</si>
  <si>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</si>
  <si>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</si>
  <si>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</si>
  <si>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</si>
  <si>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</si>
  <si>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</si>
  <si>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</si>
  <si>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</si>
  <si>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</si>
  <si>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</si>
  <si>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</si>
  <si>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</si>
  <si>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※設定自体はモバイルで不可だが
　今回の実装によって表示崩れなどがないかは
　確認できる？</t>
  </si>
  <si>
    <t>英語化</t>
  </si>
  <si>
    <t>⇒モバイルにはメアド表示なしでした</t>
  </si>
  <si>
    <t>外部API</t>
  </si>
  <si>
    <r>
      <rPr>
        <rFont val="Meiryo"/>
        <color theme="1"/>
        <sz val="10.0"/>
      </rPr>
      <t>本番環境への影響</t>
    </r>
    <r>
      <rPr>
        <rFont val="Meiryo"/>
        <color theme="1"/>
        <sz val="8.0"/>
      </rPr>
      <t>(チャットボタン等)</t>
    </r>
  </si>
  <si>
    <t>契約変更(プラン・オプション変更)</t>
  </si>
  <si>
    <t>■観点の目次</t>
  </si>
  <si>
    <t>(目次1）承認者追加時のメアド非表示</t>
  </si>
  <si>
    <t>(目次2）承認者追加時のメアド非表示（代理人アカウント）</t>
  </si>
  <si>
    <t>(目次3）既存機能への影響（メアド非表示）</t>
  </si>
  <si>
    <t>(目次4）既存機能への影響（動作）</t>
  </si>
  <si>
    <t>(目次1）</t>
  </si>
  <si>
    <t>※リスト形式</t>
  </si>
  <si>
    <t>確認すること</t>
  </si>
  <si>
    <t>画面</t>
  </si>
  <si>
    <t>確認対象</t>
  </si>
  <si>
    <t>詳細</t>
  </si>
  <si>
    <t>詳細②</t>
  </si>
  <si>
    <t>承認者追加時のメアド非表示（※1）</t>
  </si>
  <si>
    <t>経費&gt;申請&gt;承認者を追加</t>
  </si>
  <si>
    <t>承認者の一覧</t>
  </si>
  <si>
    <t>メールアドレス</t>
  </si>
  <si>
    <t>※1）設定に関するテーブルのpreferenceテーブルにshow_approver_email（boolean/デフォルトはtrue=表示)</t>
  </si>
  <si>
    <t>請求書詳細＞申請＞承認者を追加</t>
  </si>
  <si>
    <t xml:space="preserve">　 　この設定のオンオフは「開発側で裏側から切り替える」ので、オフにしたいときはオフにしたい事業所のメアドを添えて依頼が必要　</t>
  </si>
  <si>
    <t>事前申請＞承認者を追加</t>
  </si>
  <si>
    <t>汎用申請&gt;申請&gt;承認者を追加</t>
  </si>
  <si>
    <t>稟議＞申請＞承認者を追加</t>
  </si>
  <si>
    <t>メールアドレス検索：変更点ないため不要（開発レビュー）</t>
  </si>
  <si>
    <t>一括支払依頼＞申請＞承認者を追加</t>
  </si>
  <si>
    <t>承認者追加時のメアド非表示（代理人アカウント）</t>
  </si>
  <si>
    <t>稟議申請＞承認者を追加</t>
  </si>
  <si>
    <t>一括支払依頼申請＞承認者を追加</t>
  </si>
  <si>
    <t>既存機能への影響（メアド非表示）</t>
  </si>
  <si>
    <t>従業員一覧</t>
  </si>
  <si>
    <t>従業員</t>
  </si>
  <si>
    <t>管理者権限 で確認可能</t>
  </si>
  <si>
    <t>ログ一覧</t>
  </si>
  <si>
    <t>プロジェクト＞プロジェクト役職に従業員を追加</t>
  </si>
  <si>
    <t>従業員を追加</t>
  </si>
  <si>
    <t>プロジェクト＞プロジェクト役職設定</t>
  </si>
  <si>
    <t>プロジェクト役職設定</t>
  </si>
  <si>
    <t>プロジェクト＞プロジェクト詳細</t>
  </si>
  <si>
    <t>プロジェクトリーダー</t>
  </si>
  <si>
    <t>申請フロー一覧＞承認者を追加（作成）</t>
  </si>
  <si>
    <t>→システム設定から申請フローを作成する時に承認者を設定するときは管理者しか触れないため、どんな設定でもメールアドレスが表示されるようにする</t>
  </si>
  <si>
    <t>申請フロー一覧＞承認者を追加（編集）</t>
  </si>
  <si>
    <t>従業員毎申請フロー一覧</t>
  </si>
  <si>
    <t>氏名</t>
  </si>
  <si>
    <t>付加情報＞従業員タブ</t>
  </si>
  <si>
    <r>
      <rPr/>
      <t>→</t>
    </r>
    <r>
      <rPr>
        <color rgb="FF1155CC"/>
        <u/>
      </rPr>
      <t>ユーザーのメールアドレスが表示されている部分の調査</t>
    </r>
    <r>
      <rPr/>
      <t>になかったが、従業員メールアドレスが表示されていた箇所を追加した分</t>
    </r>
  </si>
  <si>
    <t>請求書一覧</t>
  </si>
  <si>
    <t>送付元</t>
  </si>
  <si>
    <t>国税関係書類一覧</t>
  </si>
  <si>
    <t>自動入力中書類一覧</t>
  </si>
  <si>
    <t>→関連性が低いため不要（開発レビュー）</t>
  </si>
  <si>
    <t>承認一覧＞一括支払依頼申請＞請求書一覧</t>
  </si>
  <si>
    <t>承認者権限で確認可能</t>
  </si>
  <si>
    <t>取引先一覧</t>
  </si>
  <si>
    <t>担当者</t>
  </si>
  <si>
    <t>取引先管理者、集計者、管理者で確認可能</t>
  </si>
  <si>
    <t>取引先編集</t>
  </si>
  <si>
    <t>担当者設定</t>
  </si>
  <si>
    <t>取引先編集＞担当者設定＞従業員選択</t>
  </si>
  <si>
    <t>従業員選択</t>
  </si>
  <si>
    <t>集計＞集計履歴</t>
  </si>
  <si>
    <t>支払い状況</t>
  </si>
  <si>
    <t xml:space="preserve">集計者権限で確認可能 </t>
  </si>
  <si>
    <t>会計データ出力状況</t>
  </si>
  <si>
    <t>TOP画面（右上）</t>
  </si>
  <si>
    <t>個人設定</t>
  </si>
  <si>
    <t>アカウント設定</t>
  </si>
  <si>
    <t>既存機能への影響（動作）</t>
  </si>
  <si>
    <t>経費&gt;申請</t>
  </si>
  <si>
    <t>申請</t>
  </si>
  <si>
    <t>動作</t>
  </si>
  <si>
    <t>承認者への通知</t>
  </si>
  <si>
    <t>通知（第1承認）</t>
  </si>
  <si>
    <t>通知（第2承認）</t>
  </si>
  <si>
    <t>承認</t>
  </si>
  <si>
    <t>承認者権限持ちの従業員で確認</t>
  </si>
  <si>
    <t>請求書詳細＞申請</t>
  </si>
  <si>
    <t>事前申請＞申請</t>
  </si>
  <si>
    <t>汎用申請&gt;申請</t>
  </si>
  <si>
    <t>稟議＞申請</t>
  </si>
  <si>
    <t>一括支払依頼＞申請</t>
  </si>
  <si>
    <t>Win11/
Chrome</t>
  </si>
  <si>
    <t>Win11/
Edge</t>
  </si>
  <si>
    <t>Win11/
Firefox</t>
  </si>
  <si>
    <t>Mac/
Safari</t>
  </si>
  <si>
    <t>iOS</t>
  </si>
  <si>
    <t>Android</t>
  </si>
  <si>
    <t>No</t>
  </si>
  <si>
    <t>テスト実行手順</t>
  </si>
  <si>
    <t>期待値</t>
  </si>
  <si>
    <t>備考</t>
  </si>
  <si>
    <t>Autify</t>
  </si>
  <si>
    <t>実行備考</t>
  </si>
  <si>
    <t>起票JIRA No</t>
  </si>
  <si>
    <r>
      <rPr>
        <rFont val="Arial"/>
        <color rgb="FF000000"/>
        <sz val="10.0"/>
      </rPr>
      <t xml:space="preserve">承認者追加時のメアド非表示
</t>
    </r>
    <r>
      <rPr>
        <rFont val="Arial"/>
        <b/>
        <color rgb="FF00FF00"/>
        <sz val="10.0"/>
      </rPr>
      <t>※開発に</t>
    </r>
    <r>
      <rPr>
        <rFont val="Arial"/>
        <b/>
        <color rgb="FF1155CC"/>
        <sz val="10.0"/>
        <u/>
      </rPr>
      <t>こちら</t>
    </r>
    <r>
      <rPr>
        <rFont val="Arial"/>
        <b/>
        <color rgb="FF00FF00"/>
        <sz val="10.0"/>
      </rPr>
      <t>の非表示設定を依頼したうえで確認</t>
    </r>
  </si>
  <si>
    <t>1.経費＞経費を登録する＞手入力を選択
2.各項目の必要事項を設定＞登録ボタン押下
3.経費一覧＞手順2で作成した経費にチェックを入れる＞申請する＞完了ボタン押下
4.承認フローのフォームを選択＞承認者タブを確認</t>
  </si>
  <si>
    <t>各従業員のメールアドレスが非表示となっていること</t>
  </si>
  <si>
    <t>浦本</t>
  </si>
  <si>
    <t>1.請求書＞請求書を登録する＞手入力を選択
2.各項目の必要事項と明細を任意に設定
3.申請する＞完了ボタン押下
4.承認フローのフォームを選択＞承認者タブを確認</t>
  </si>
  <si>
    <t>1.画面左上の+新規＞事前申請を選択
2.各項目の必要事項と事前申請項目を任意に設定
3.申請する＞承認フローのフォームを選択＞承認者タブを確認</t>
  </si>
  <si>
    <t>1.画面左上の+新規＞その他の申請＞汎用申請を選択
2.各項目を任意に設定
3.申請する＞承認フローのフォームを選択＞承認者タブを確認</t>
  </si>
  <si>
    <r>
      <rPr>
        <rFont val="Arial"/>
        <color rgb="FFFF9900"/>
        <sz val="10.0"/>
      </rPr>
      <t>※あらかじめ任意の請求書（明細含む）を作成しておく</t>
    </r>
    <r>
      <rPr>
        <rFont val="Arial"/>
        <color theme="1"/>
        <sz val="10.0"/>
      </rPr>
      <t xml:space="preserve">
1.請求書一覧＞作成しておいた請求書にチェックを入れる
2.画面上部の一括支払依頼申請する＞完了ボタンを押下
3.承認フローのフォームを選択＞承認者タブを確認</t>
    </r>
  </si>
  <si>
    <r>
      <rPr>
        <rFont val="Arial"/>
        <color rgb="FFFF9900"/>
        <sz val="10.0"/>
      </rPr>
      <t>※あらかじめ任意の稟議を作成しておく</t>
    </r>
    <r>
      <rPr>
        <rFont val="Arial"/>
        <color theme="1"/>
        <sz val="10.0"/>
      </rPr>
      <t xml:space="preserve">
1.稟議＞作成しておいた未申請の稟議を選択
2.申請する＞完了ボタン押下
3.承認フローのフォームを選択＞承認者タブを確認</t>
    </r>
  </si>
  <si>
    <r>
      <rPr>
        <rFont val="Arial"/>
        <color rgb="FF000000"/>
        <sz val="10.0"/>
      </rPr>
      <t xml:space="preserve">承認者追加時のメアド非表示（代理人アカウント）
</t>
    </r>
    <r>
      <rPr>
        <rFont val="Arial"/>
        <b/>
        <color rgb="FFFF00FF"/>
        <sz val="10.0"/>
      </rPr>
      <t>※代理人ログインできるテナントにログインして確認</t>
    </r>
  </si>
  <si>
    <t>1.請求書＞請求書を登録する＞手入力を選択
2.各項目の必要事項と明細を任意に設定
3.申請する＞完了ボタン押下
4.承認フローのフォームを選択＞承認者タブを確認</t>
  </si>
  <si>
    <t>1.画面左上の+新規＞その他の申請＞汎用申請を選択
2.各項目を任意に設定
3.申請する＞承認フローのフォームを選択＞承認者タブを確認</t>
  </si>
  <si>
    <r>
      <rPr>
        <rFont val="Arial"/>
        <color rgb="FFFF9900"/>
        <sz val="10.0"/>
      </rPr>
      <t>※あらかじめ任意の請求書（明細含む）を作成しておく</t>
    </r>
    <r>
      <rPr>
        <rFont val="Arial"/>
        <color theme="1"/>
        <sz val="10.0"/>
      </rPr>
      <t xml:space="preserve">
1.請求書一覧＞作成しておいた請求書にチェックを入れる
2.画面上部の一括支払依頼申請する＞完了ボタンを押下
3.承認フローのフォームを選択＞承認者タブを確認</t>
    </r>
  </si>
  <si>
    <r>
      <rPr>
        <rFont val="Arial"/>
        <color rgb="FFFF9900"/>
        <sz val="10.0"/>
      </rPr>
      <t>※あらかじめ任意の稟議を作成しておく</t>
    </r>
    <r>
      <rPr>
        <rFont val="Arial"/>
        <color theme="1"/>
        <sz val="10.0"/>
      </rPr>
      <t xml:space="preserve">
1.稟議＞作成しておいた未申請の稟議を選択
2.申請する＞完了ボタン押下
3.承認フローのフォームを選択＞承認者タブを確認</t>
    </r>
  </si>
  <si>
    <t>既存機能への影響（メアド非表示設定時）</t>
  </si>
  <si>
    <t>1.システム設定＞従業員に遷移
2.E列の内容を確認</t>
  </si>
  <si>
    <t>各従業員のメールアドレスが表示されていること</t>
  </si>
  <si>
    <t>1.システム設定＞ログに遷移
2.任意に検索条件を設定＞この条件で検索ボタンを押下
3.E列の内容を確認</t>
  </si>
  <si>
    <r>
      <rPr>
        <rFont val="Arial"/>
        <color rgb="FFFF9900"/>
      </rPr>
      <t>※あらかじめ任意にプロジェクトを作成しておく</t>
    </r>
    <r>
      <rPr>
        <rFont val="Arial"/>
        <color theme="1"/>
      </rPr>
      <t xml:space="preserve">
1.システム設定＞プロジェクトに遷移
2.プロジェクト一覧＞任意のプロジェクトを選択
3.役職を設定する＞従業員を追加＞従業員を追加のフォームを選択</t>
    </r>
  </si>
  <si>
    <t xml:space="preserve">4.任意の従業員を選択＞追加ボタン押下
</t>
  </si>
  <si>
    <t>5.保存ボタン押下</t>
  </si>
  <si>
    <t>申請フロー一覧＞承認者を追加</t>
  </si>
  <si>
    <t>承認者（作成）</t>
  </si>
  <si>
    <t>1.システム設定＞申請フローに遷移
2.申請フロー一覧＞申請フローを作成するボタン押下
3.第1承認の申請時に選択フォーム＞承認者タブを選択</t>
  </si>
  <si>
    <t>承認者（編集）</t>
  </si>
  <si>
    <t>※あらかじめ任意の申請フローを作成しておく
1.システム設定＞申請フローに遷移
2.申請フロー一覧＞任意の申請フローの編集マークを選択
3.何れかの第●承認の申請時に選択フォームを選択＞承認者タブを選択</t>
  </si>
  <si>
    <t>1.システム設定＞申請フローに遷移
2.従業員毎申請フロー一覧を確認
3.E列の内容を確認</t>
  </si>
  <si>
    <t>1.システム設定＞付加情報に遷移
2.従業員タブを選択
3.E列の内容を確認</t>
  </si>
  <si>
    <t>1.取引先に遷移
2.取引先一覧＞E列の内容を確認</t>
  </si>
  <si>
    <t>3.任意の取引先を選択
4.担当者設定項目の入力フォームを選択
5.E列の内容を確認</t>
  </si>
  <si>
    <t>6.任意の従業員を選択し、閉じるボタンを選択
7.E列の内容を確認</t>
  </si>
  <si>
    <r>
      <rPr>
        <rFont val="Arial"/>
        <color rgb="FFFF9900"/>
      </rPr>
      <t>※あらかじめ任意の請求書を承認済みにしておく</t>
    </r>
    <r>
      <rPr>
        <rFont val="Arial"/>
        <color theme="1"/>
      </rPr>
      <t xml:space="preserve">
1.集計＞請求書一覧＞任意の請求書にチェックを入れる
2.選択した●件の請求書を集計するボタン押下
3.集計履歴に表示された手順2の履歴を選択
4.全銀データ・会計データ出力＞会計データ出力タブで任意に設定＞ダウンロードボタン押下
5.最新の会計データ作成を開始を選択＞ダウンロードボタン押下
6.各モーダルを×ボタンで閉じ、集計履歴画面に戻る
7.E列の内容を確認</t>
    </r>
  </si>
  <si>
    <t>8.再度手順3の履歴を選択
9.支払処理済みにするを選択＞集計履歴画面に戻る
10.E列の内容を確認</t>
  </si>
  <si>
    <t>1.画面右上のテナント表記箇所を確認</t>
  </si>
  <si>
    <t>2.画面右上のテナント表記＞個人設定を選択
3.アカウント設定＞メールアドレスを確認</t>
  </si>
  <si>
    <r>
      <rPr>
        <rFont val="Arial"/>
        <color rgb="FFFF9900"/>
        <sz val="10.0"/>
      </rPr>
      <t>※あらかじめ任意の経費を作成しておく</t>
    </r>
    <r>
      <rPr>
        <rFont val="Arial"/>
        <color theme="1"/>
        <sz val="10.0"/>
      </rPr>
      <t xml:space="preserve">
1.経費一覧＞作成した経費にチェックを入れる＞申請する＞完了ボタン押下
2.承認フローのフォームを選択＞承認者を設定＞更新ボタン押下
3.申請するボタン押下</t>
    </r>
  </si>
  <si>
    <t>申請ができること</t>
  </si>
  <si>
    <r>
      <rPr>
        <rFont val="Arial"/>
        <color rgb="FFFF9900"/>
        <sz val="10.0"/>
      </rPr>
      <t>※あらかじめ任意の経費を作成しておく</t>
    </r>
    <r>
      <rPr>
        <rFont val="Arial"/>
        <color theme="1"/>
        <sz val="10.0"/>
      </rPr>
      <t xml:space="preserve">
1.作成した経費にチェックを入れる＞申請する＞完了ボタン押下
2.承認フローの第1承認の入力フォームを選択＞承認者を設定＞更新ボタン押下
3.申請するボタン押下</t>
    </r>
  </si>
  <si>
    <t>第1承認者へ承認依頼の通知が届くこと</t>
  </si>
  <si>
    <r>
      <rPr>
        <rFont val="Arial"/>
        <color rgb="FFFF9900"/>
        <sz val="10.0"/>
      </rPr>
      <t>※あらかじめ任意の経費を作成しておく</t>
    </r>
    <r>
      <rPr>
        <rFont val="Arial"/>
        <color theme="1"/>
        <sz val="10.0"/>
      </rPr>
      <t xml:space="preserve">
1.作成した経費にチェックを入れる＞申請する＞完了ボタン押下
2.承認フローの第1承認の下部にある⊞ボタンを押下
3.第2承認の入力フォームを選択＞承認者を設定＞更新ボタン押下
4.申請するボタン押下</t>
    </r>
  </si>
  <si>
    <t>第2承認者へ承認依頼の通知が届くこと</t>
  </si>
  <si>
    <t>5.承認＞経費精算＞申請した経費を選択
6.承認するボタンを押下</t>
  </si>
  <si>
    <t>承認ができること</t>
  </si>
  <si>
    <r>
      <rPr>
        <rFont val="Arial"/>
        <color rgb="FFFF9900"/>
        <sz val="10.0"/>
      </rPr>
      <t>※あらかじめ任意の請求書を作成しておく</t>
    </r>
    <r>
      <rPr>
        <rFont val="Arial"/>
        <color theme="1"/>
        <sz val="10.0"/>
      </rPr>
      <t xml:space="preserve">
1.請求書一覧＞作成した請求書を選択＞申請する＞完了ボタン押下
2.承認フローのフォームを選択＞承認者を設定＞更新ボタン押下
3.申請するボタン押下</t>
    </r>
  </si>
  <si>
    <r>
      <rPr>
        <rFont val="Arial"/>
        <color rgb="FFFF9900"/>
        <sz val="10.0"/>
      </rPr>
      <t>※あらかじめ任意の請求書を作成しておく</t>
    </r>
    <r>
      <rPr>
        <rFont val="Arial"/>
        <color theme="1"/>
        <sz val="10.0"/>
      </rPr>
      <t xml:space="preserve">
1.請求書一覧＞作成した請求書を選択＞申請する＞完了ボタン押下
2.承認フローの第1承認の入力フォームを選択＞承認者を設定＞更新ボタン押下
3.申請するボタン押下</t>
    </r>
  </si>
  <si>
    <r>
      <rPr>
        <rFont val="Arial"/>
        <color rgb="FFFF9900"/>
        <sz val="10.0"/>
      </rPr>
      <t>※あらかじめ任意の請求書を作成しておく</t>
    </r>
    <r>
      <rPr>
        <rFont val="Arial"/>
        <color theme="1"/>
        <sz val="10.0"/>
      </rPr>
      <t xml:space="preserve">
1.請求書一覧＞作成した請求書を選択＞申請する＞完了ボタン押下
2.承認フローの第1承認の下部にある⊞ボタンを押下
3.第2承認の入力フォームを選択＞承認者を設定＞更新ボタン押下
4.申請するボタン押下</t>
    </r>
  </si>
  <si>
    <t>5.承認＞支払依頼申請＞申請した請求書を選択
6.承認するボタンを押下</t>
  </si>
  <si>
    <t>1.画面左上の+新規＞事前申請を選択
2.各項目の必要事項と事前申請項目を任意に設定
3.申請する＞承認フローのフォームを選択＞承認者を設定＞更新ボタン押下
4.申請を提出するボタンを押下</t>
  </si>
  <si>
    <t>1.画面左上の+新規＞事前申請を選択
2.各項目の必要事項と事前申請項目を任意に設定＞申請するボタン押下
3.承認フローの第1承認の入力フォームを選択＞承認者を設定＞更新ボタン押下
4.申請を提出するボタンを押下</t>
  </si>
  <si>
    <t>1.画面左上の+新規＞事前申請を選択
2.各項目の必要事項と事前申請項目を任意に設定＞申請するボタン押下
3.承認フローの第1承認の下部にある⊞ボタンを押下
4.第2承認の入力フォームを選択＞承認者を設定＞更新ボタン押下
5.申請を提出するボタンを押下</t>
  </si>
  <si>
    <t>6.承認＞事前申請＞申請した事前申請を選択
7.承認するボタンを押下</t>
  </si>
  <si>
    <t>1.画面左上の+新規＞その他の申請＞汎用申請を選択
2.各項目を任意に設定＞申請するボタンを押下
3.承認フローのフォームを選択＞承認者を設定＞更新ボタン押下
4.申請を提出するボタンを押下</t>
  </si>
  <si>
    <t>1.画面左上の+新規＞その他の申請＞汎用申請を選択
2.各項目を任意に設定＞申請するボタンを押下
3.承認フローの第1承認の入力フォームを選択＞承認者を設定＞更新ボタン押下
4.申請を提出するボタンを押下</t>
  </si>
  <si>
    <t>1.画面左上の+新規＞その他の申請＞汎用申請を選択
2.各項目を任意に設定＞申請するボタンを押下
3.承認フローの第1承認の下部にある⊞ボタンを押下
4.第2承認の入力フォームを選択＞承認者を設定＞更新ボタン押下
5.申請を提出するボタンを押下</t>
  </si>
  <si>
    <t>6.承認＞汎用申請＞申請した汎用申請を選択
7.承認するボタンを押下</t>
  </si>
  <si>
    <r>
      <rPr>
        <rFont val="Arial"/>
        <color rgb="FFFF9900"/>
        <sz val="10.0"/>
      </rPr>
      <t>※あらかじめ任意の稟議を作成しておく</t>
    </r>
    <r>
      <rPr>
        <rFont val="Arial"/>
        <color theme="1"/>
        <sz val="10.0"/>
      </rPr>
      <t xml:space="preserve">
1.稟議＞作成しておいた未申請の稟議を選択
2.申請する＞完了ボタン押下＞承認フローのフォームを選択＞承認者を設定＞更新ボタン押下
3.申請を提出するボタンを押下</t>
    </r>
  </si>
  <si>
    <r>
      <rPr>
        <rFont val="Arial"/>
        <color rgb="FFFF9900"/>
        <sz val="10.0"/>
      </rPr>
      <t>※あらかじめ任意の稟議を作成しておく</t>
    </r>
    <r>
      <rPr>
        <rFont val="Arial"/>
        <color theme="1"/>
        <sz val="10.0"/>
      </rPr>
      <t xml:space="preserve">
1.稟議＞作成しておいた未申請の稟議を選択
2.申請する＞完了ボタン押下＞承認フローの第1承認の入力フォームを選択＞承認者を設定＞更新ボタン押下
3.申請を提出するボタンを押下</t>
    </r>
  </si>
  <si>
    <r>
      <rPr>
        <rFont val="Arial"/>
        <color rgb="FFFF9900"/>
        <sz val="10.0"/>
      </rPr>
      <t>※あらかじめ任意の稟議を作成しておく</t>
    </r>
    <r>
      <rPr>
        <rFont val="Arial"/>
        <color theme="1"/>
        <sz val="10.0"/>
      </rPr>
      <t xml:space="preserve">
1.稟議＞作成しておいた未申請の稟議を選択
2.申請する＞承認フローの第1承認の下部にある⊞ボタンを押下
3.第2承認の入力フォームを選択＞承認者を設定＞更新ボタン押下
4.申請を提出するボタンを押下</t>
    </r>
  </si>
  <si>
    <t>5.承認＞稟議申請＞申請した稟議を選択
6.承認するボタンを押下</t>
  </si>
  <si>
    <r>
      <rPr>
        <rFont val="Arial"/>
        <color rgb="FFFF9900"/>
        <sz val="10.0"/>
      </rPr>
      <t>※あらかじめ任意の請求書（明細含む）を作成しておく</t>
    </r>
    <r>
      <rPr>
        <rFont val="Arial"/>
        <color theme="1"/>
        <sz val="10.0"/>
      </rPr>
      <t xml:space="preserve">
1.請求書一覧＞作成しておいた請求書にチェックを入れる
2.画面上部の一括支払依頼申請する＞完了ボタンを押下
3.承認フローのフォームを選択＞承認者を設定＞更新ボタン押下
4.申請するボタン押下</t>
    </r>
  </si>
  <si>
    <r>
      <rPr>
        <rFont val="Arial"/>
        <color rgb="FFFF9900"/>
        <sz val="10.0"/>
      </rPr>
      <t>※あらかじめ任意の請求書（明細含む）を作成しておく</t>
    </r>
    <r>
      <rPr>
        <rFont val="Arial"/>
        <color theme="1"/>
        <sz val="10.0"/>
      </rPr>
      <t xml:space="preserve">
1.請求書一覧＞作成しておいた請求書にチェックを入れる
2.画面上部の一括支払依頼申請する＞完了ボタンを押下
3.承認フローの第1承認の入力フォームを選択＞承認者を設定＞更新ボタン押下
4.申請するボタンを押下</t>
    </r>
  </si>
  <si>
    <r>
      <rPr>
        <rFont val="Arial"/>
        <color rgb="FFFF9900"/>
        <sz val="10.0"/>
      </rPr>
      <t>※あらかじめ任意の請求書（明細含む）を作成しておく</t>
    </r>
    <r>
      <rPr>
        <rFont val="Arial"/>
        <color theme="1"/>
        <sz val="10.0"/>
      </rPr>
      <t xml:space="preserve">
1.請求書一覧＞作成しておいた請求書にチェックを入れる
2.画面上部の一括支払依頼申請する＞完了ボタンを押下
3.承認フローの第1承認の下部にある⊞ボタンを押下
4.第2承認の入力フォームを選択＞承認者を設定＞更新ボタン押下
5.申請を提出するボタンを押下</t>
    </r>
  </si>
  <si>
    <t>6.承認＞一括支払依頼申請＞申請した請求書を選択
7.承認するボタンを押下</t>
  </si>
  <si>
    <t>テスト進捗</t>
  </si>
  <si>
    <t>残項目数</t>
  </si>
  <si>
    <t>総ケース数</t>
  </si>
  <si>
    <t>バグ発生数(起票数)</t>
  </si>
  <si>
    <t>バグ発生率</t>
  </si>
  <si>
    <t>テスト①</t>
  </si>
  <si>
    <t>↑バグ発生数÷テストケース数(再実施含まない)</t>
  </si>
  <si>
    <t>Win11/
Safari</t>
  </si>
  <si>
    <t>iOS/
OSver●●</t>
  </si>
  <si>
    <t>Android/
OSver●●</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</si>
  <si>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</si>
  <si>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</si>
  <si>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</si>
  <si>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</si>
  <si>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</si>
  <si>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</si>
  <si>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</si>
  <si>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</si>
  <si>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</si>
  <si>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</si>
  <si>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</si>
  <si>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</si>
  <si>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</si>
  <si>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</si>
  <si>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</si>
  <si>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</si>
  <si>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</si>
  <si>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</si>
  <si>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</si>
  <si>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</si>
  <si>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</si>
  <si>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</si>
  <si>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</si>
  <si>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</si>
  <si>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</si>
  <si>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</si>
  <si>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</si>
  <si>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</si>
  <si>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</si>
  <si>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</si>
  <si>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</si>
  <si>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</si>
  <si>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</si>
  <si>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</si>
  <si>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</si>
  <si>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</si>
  <si>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</si>
  <si>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</si>
  <si>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</si>
  <si>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</si>
  <si>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7/24 赤星更新</t>
  </si>
  <si>
    <t>https://beartail.slack.com/archives/CRTSZURS9/p1753317540432899?thread_ts=1753246556.964489&amp;cid=CRTSZURS9</t>
  </si>
  <si>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</si>
  <si>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</si>
  <si>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</si>
  <si>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</si>
  <si>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</si>
  <si>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</si>
  <si>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</si>
  <si>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</si>
  <si>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</si>
  <si>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https://beartail.slack.com/archives/CRTSZURS9/p1753317716967899?thread_ts=1753246556.964489&amp;cid=CRTSZURS9</t>
  </si>
  <si>
    <t>◾️工数管理</t>
  </si>
  <si>
    <t>(人日)</t>
  </si>
  <si>
    <t>◾️レビュー状況</t>
  </si>
  <si>
    <t>観点作成</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</si>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</sst>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0&quot;人日&quot;"/>
    <numFmt numFmtId="166" formatCode="m/d/yyyy h:mm:ss"/>
    <numFmt numFmtId="167" formatCode="yyyy/mm/dd"/>
    <numFmt numFmtId="168" formatCode="yyyy/m/d"/>
  </numFmts>
  <fonts count="52">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u/>
      <color rgb="FF0000FF"/>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b/>
      <color theme="1"/>
      <name val="Meiryo"/>
    </font>
    <font>
      <sz val="11.0"/>
      <color rgb="FF000000"/>
      <name val="Meiryo"/>
    </font>
    <font>
      <sz val="11.0"/>
      <color theme="1"/>
      <name val="Meiryo"/>
    </font>
    <font>
      <sz val="10.0"/>
      <color rgb="FFFFFFFF"/>
      <name val="Meiryo"/>
    </font>
    <font>
      <u/>
      <sz val="10.0"/>
      <color rgb="FF000000"/>
      <name val="Arial"/>
    </font>
    <font>
      <sz val="10.0"/>
      <color rgb="FF000000"/>
      <name val="Arial"/>
    </font>
    <font>
      <sz val="10.0"/>
      <color theme="1"/>
      <name val="Arial"/>
    </font>
    <font>
      <sz val="10.0"/>
      <color rgb="FFCCCCCC"/>
      <name val="Arial"/>
    </font>
    <font>
      <color rgb="FFCCCCCC"/>
      <name val="Arial"/>
      <scheme val="minor"/>
    </font>
    <font>
      <b/>
      <sz val="12.0"/>
      <color rgb="FFFF0000"/>
      <name val="Arial"/>
    </font>
    <font>
      <b/>
      <sz val="13.0"/>
      <color theme="1"/>
      <name val="Arial"/>
    </font>
    <font>
      <b/>
      <sz val="10.0"/>
      <color rgb="FF000000"/>
      <name val="Meiryo"/>
    </font>
    <font>
      <u/>
      <color rgb="FF0000FF"/>
    </font>
    <font>
      <u/>
      <color rgb="FF0000FF"/>
      <name val="Arial"/>
    </font>
    <font>
      <b/>
      <color rgb="FFFF0000"/>
      <name val="Arial"/>
      <scheme val="minor"/>
    </font>
    <font>
      <color rgb="FFFF0000"/>
      <name val="Arial"/>
      <scheme val="minor"/>
    </font>
    <font>
      <u/>
      <color rgb="FF0000FF"/>
    </font>
    <font/>
    <font>
      <b/>
      <color rgb="FFFFFFFF"/>
      <name val="Arial"/>
      <scheme val="minor"/>
    </font>
    <font>
      <color rgb="FFFFFFFF"/>
      <name val="Arial"/>
      <scheme val="minor"/>
    </font>
  </fonts>
  <fills count="19">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CCCCCC"/>
        <bgColor rgb="FFCCCCCC"/>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0">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left style="thin">
        <color rgb="FF000000"/>
      </left>
      <bottom/>
    </border>
  </borders>
  <cellStyleXfs count="1">
    <xf borderId="0" fillId="0" fontId="0" numFmtId="0" applyAlignment="1" applyFont="1"/>
  </cellStyleXfs>
  <cellXfs count="391">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vertical="bottom"/>
    </xf>
    <xf borderId="0" fillId="0" fontId="22" numFmtId="165" xfId="0" applyAlignment="1" applyFont="1" applyNumberFormat="1">
      <alignment horizontal="left" readingOrder="0" shrinkToFit="0" vertical="top" wrapText="0"/>
    </xf>
    <xf borderId="20" fillId="0" fontId="3" numFmtId="0" xfId="0" applyAlignment="1" applyBorder="1" applyFont="1">
      <alignment readingOrder="0"/>
    </xf>
    <xf borderId="33" fillId="0" fontId="3" numFmtId="0" xfId="0" applyBorder="1" applyFont="1"/>
    <xf borderId="0" fillId="0" fontId="20" numFmtId="0" xfId="0" applyAlignment="1" applyFont="1">
      <alignment horizontal="right" readingOrder="0" vertical="bottom"/>
    </xf>
    <xf borderId="0" fillId="0" fontId="3" numFmtId="0" xfId="0" applyAlignment="1" applyFont="1">
      <alignment readingOrder="0" shrinkToFit="0" wrapText="0"/>
    </xf>
    <xf borderId="26" fillId="0" fontId="3" numFmtId="0" xfId="0" applyBorder="1" applyFont="1"/>
    <xf borderId="27" fillId="0" fontId="3" numFmtId="0" xfId="0" applyBorder="1" applyFont="1"/>
    <xf borderId="34" fillId="0" fontId="3" numFmtId="0" xfId="0" applyBorder="1" applyFont="1"/>
    <xf borderId="0" fillId="0" fontId="23" numFmtId="0" xfId="0" applyAlignment="1" applyFont="1">
      <alignment readingOrder="0" shrinkToFit="0" wrapText="0"/>
    </xf>
    <xf borderId="0" fillId="0" fontId="24"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5" numFmtId="0" xfId="0" applyAlignment="1" applyFont="1">
      <alignment readingOrder="0"/>
    </xf>
    <xf borderId="0" fillId="0" fontId="3" numFmtId="0" xfId="0" applyAlignment="1" applyFont="1">
      <alignment readingOrder="0"/>
    </xf>
    <xf borderId="3" fillId="6" fontId="26"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6" numFmtId="0" xfId="0" applyAlignment="1" applyBorder="1" applyFont="1">
      <alignment horizontal="left" readingOrder="0" shrinkToFit="0" vertical="bottom" wrapText="1"/>
    </xf>
    <xf borderId="26" fillId="6" fontId="26"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26" fillId="6" fontId="26" numFmtId="0" xfId="0" applyAlignment="1" applyBorder="1" applyFont="1">
      <alignment horizontal="left" shrinkToFit="0" vertical="bottom" wrapText="1"/>
    </xf>
    <xf borderId="26" fillId="6" fontId="27" numFmtId="0" xfId="0" applyAlignment="1" applyBorder="1" applyFont="1">
      <alignment horizontal="left" readingOrder="0" shrinkToFit="0" vertical="bottom" wrapText="1"/>
    </xf>
    <xf borderId="0" fillId="0" fontId="3" numFmtId="0" xfId="0" applyFont="1"/>
    <xf borderId="0" fillId="0" fontId="3" numFmtId="0" xfId="0" applyAlignment="1" applyFont="1">
      <alignment readingOrder="0" shrinkToFit="0" vertical="top" wrapText="0"/>
    </xf>
    <xf borderId="2" fillId="6" fontId="28" numFmtId="0" xfId="0" applyAlignment="1" applyBorder="1" applyFont="1">
      <alignment horizontal="left" readingOrder="0" shrinkToFit="0" vertical="bottom" wrapText="1"/>
    </xf>
    <xf borderId="2" fillId="6" fontId="27" numFmtId="0" xfId="0" applyAlignment="1" applyBorder="1" applyFont="1">
      <alignment horizontal="left" readingOrder="0" shrinkToFit="0" vertical="bottom" wrapText="0"/>
    </xf>
    <xf borderId="0" fillId="0" fontId="29" numFmtId="0" xfId="0" applyAlignment="1" applyFont="1">
      <alignment readingOrder="0"/>
    </xf>
    <xf borderId="2" fillId="6" fontId="28"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30" numFmtId="0" xfId="0" applyAlignment="1" applyFont="1">
      <alignment readingOrder="0" shrinkToFit="0" wrapText="0"/>
    </xf>
    <xf borderId="0" fillId="0" fontId="3" numFmtId="0" xfId="0" applyAlignment="1" applyFont="1">
      <alignment horizontal="left" readingOrder="0" shrinkToFit="0" vertical="top" wrapText="0"/>
    </xf>
    <xf borderId="0" fillId="0" fontId="31" numFmtId="0" xfId="0" applyAlignment="1" applyFont="1">
      <alignment readingOrder="0" shrinkToFit="0" wrapText="0"/>
    </xf>
    <xf borderId="6" fillId="7" fontId="3" numFmtId="0" xfId="0" applyAlignment="1" applyBorder="1" applyFill="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4" fillId="7" fontId="20" numFmtId="0" xfId="0" applyAlignment="1" applyBorder="1" applyFont="1">
      <alignment vertical="bottom"/>
    </xf>
    <xf borderId="5" fillId="7" fontId="20" numFmtId="0" xfId="0" applyAlignment="1" applyBorder="1" applyFont="1">
      <alignment vertical="bottom"/>
    </xf>
    <xf borderId="0" fillId="0" fontId="3" numFmtId="0" xfId="0" applyAlignment="1" applyFont="1">
      <alignment shrinkToFit="0" wrapText="0"/>
    </xf>
    <xf borderId="6" fillId="0" fontId="3" numFmtId="0" xfId="0" applyAlignment="1" applyBorder="1" applyFont="1">
      <alignment readingOrder="0"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4"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20" numFmtId="0" xfId="0" applyAlignment="1" applyBorder="1" applyFont="1">
      <alignment vertical="bottom"/>
    </xf>
    <xf borderId="5" fillId="0" fontId="20" numFmtId="0" xfId="0" applyAlignment="1" applyBorder="1" applyFont="1">
      <alignment vertical="bottom"/>
    </xf>
    <xf borderId="5" fillId="0" fontId="3" numFmtId="0" xfId="0" applyAlignment="1" applyBorder="1" applyFont="1">
      <alignment readingOrder="0" shrinkToFit="0" wrapText="0"/>
    </xf>
    <xf borderId="0" fillId="0" fontId="3" numFmtId="0" xfId="0" applyAlignment="1" applyFont="1">
      <alignment readingOrder="0" shrinkToFit="0" wrapText="0"/>
    </xf>
    <xf borderId="20" fillId="0" fontId="3" numFmtId="0" xfId="0" applyAlignment="1" applyBorder="1" applyFont="1">
      <alignment readingOrder="0" shrinkToFit="0" wrapText="0"/>
    </xf>
    <xf borderId="33" fillId="0" fontId="3" numFmtId="0" xfId="0" applyAlignment="1" applyBorder="1" applyFont="1">
      <alignment readingOrder="0"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17" fillId="0" fontId="3" numFmtId="0" xfId="0" applyAlignment="1" applyBorder="1" applyFont="1">
      <alignment shrinkToFit="0" wrapText="0"/>
    </xf>
    <xf borderId="19" fillId="0" fontId="3" numFmtId="0" xfId="0" applyAlignment="1" applyBorder="1" applyFont="1">
      <alignment shrinkToFit="0" wrapText="0"/>
    </xf>
    <xf borderId="6" fillId="4" fontId="3" numFmtId="0" xfId="0" applyAlignment="1" applyBorder="1" applyFont="1">
      <alignment readingOrder="0" shrinkToFit="0" wrapText="0"/>
    </xf>
    <xf borderId="17" fillId="4" fontId="3" numFmtId="0" xfId="0" applyAlignment="1" applyBorder="1" applyFont="1">
      <alignment readingOrder="0" shrinkToFit="0" wrapText="0"/>
    </xf>
    <xf borderId="19" fillId="4" fontId="3" numFmtId="0" xfId="0" applyAlignment="1" applyBorder="1" applyFont="1">
      <alignment readingOrder="0" shrinkToFit="0" wrapText="0"/>
    </xf>
    <xf borderId="4" fillId="4" fontId="3" numFmtId="0" xfId="0" applyAlignment="1" applyBorder="1" applyFont="1">
      <alignment readingOrder="0" shrinkToFit="0" wrapText="0"/>
    </xf>
    <xf borderId="4" fillId="4" fontId="3" numFmtId="0" xfId="0" applyAlignment="1" applyBorder="1" applyFont="1">
      <alignment readingOrder="0" shrinkToFit="0" wrapText="0"/>
    </xf>
    <xf borderId="5" fillId="4" fontId="3" numFmtId="0" xfId="0" applyAlignment="1" applyBorder="1" applyFont="1">
      <alignment readingOrder="0" shrinkToFit="0" wrapText="0"/>
    </xf>
    <xf borderId="3" fillId="4" fontId="3" numFmtId="0" xfId="0" applyAlignment="1" applyBorder="1" applyFont="1">
      <alignment readingOrder="0" shrinkToFit="0" wrapText="0"/>
    </xf>
    <xf borderId="4" fillId="4" fontId="20" numFmtId="0" xfId="0" applyAlignment="1" applyBorder="1" applyFont="1">
      <alignment vertical="bottom"/>
    </xf>
    <xf borderId="5" fillId="4" fontId="20" numFmtId="0" xfId="0" applyAlignment="1" applyBorder="1" applyFont="1">
      <alignment vertical="bottom"/>
    </xf>
    <xf borderId="5" fillId="4" fontId="3" numFmtId="0" xfId="0" applyAlignment="1" applyBorder="1" applyFont="1">
      <alignment readingOrder="0" shrinkToFit="0" wrapText="0"/>
    </xf>
    <xf borderId="20" fillId="4" fontId="3" numFmtId="0" xfId="0" applyAlignment="1" applyBorder="1" applyFont="1">
      <alignment readingOrder="0" shrinkToFit="0" wrapText="0"/>
    </xf>
    <xf borderId="0" fillId="4" fontId="3" numFmtId="0" xfId="0" applyAlignment="1" applyFont="1">
      <alignment readingOrder="0" shrinkToFit="0" wrapText="0"/>
    </xf>
    <xf borderId="33" fillId="4" fontId="3" numFmtId="0" xfId="0" applyAlignment="1" applyBorder="1" applyFont="1">
      <alignment readingOrder="0" shrinkToFit="0" wrapText="0"/>
    </xf>
    <xf borderId="4" fillId="4" fontId="3" numFmtId="0" xfId="0" applyAlignment="1" applyBorder="1" applyFont="1">
      <alignment shrinkToFit="0" wrapText="0"/>
    </xf>
    <xf borderId="5" fillId="4" fontId="3" numFmtId="0" xfId="0" applyAlignment="1" applyBorder="1" applyFont="1">
      <alignment shrinkToFit="0" wrapText="0"/>
    </xf>
    <xf borderId="17" fillId="4" fontId="3" numFmtId="0" xfId="0" applyAlignment="1" applyBorder="1" applyFont="1">
      <alignment shrinkToFit="0" wrapText="0"/>
    </xf>
    <xf borderId="19" fillId="4" fontId="3" numFmtId="0" xfId="0" applyAlignment="1" applyBorder="1" applyFont="1">
      <alignment shrinkToFit="0" wrapText="0"/>
    </xf>
    <xf borderId="5" fillId="4" fontId="20" numFmtId="0" xfId="0" applyAlignment="1" applyBorder="1" applyFont="1">
      <alignment readingOrder="0" vertical="bottom"/>
    </xf>
    <xf borderId="27" fillId="0" fontId="3" numFmtId="0" xfId="0" applyAlignment="1" applyBorder="1" applyFont="1">
      <alignment readingOrder="0" shrinkToFit="0" wrapText="0"/>
    </xf>
    <xf borderId="27" fillId="0" fontId="3" numFmtId="0" xfId="0" applyAlignment="1" applyBorder="1" applyFont="1">
      <alignment shrinkToFit="0" wrapText="0"/>
    </xf>
    <xf borderId="34" fillId="0" fontId="3" numFmtId="0" xfId="0" applyAlignment="1" applyBorder="1" applyFont="1">
      <alignment shrinkToFit="0" wrapText="0"/>
    </xf>
    <xf borderId="4" fillId="0" fontId="20" numFmtId="0" xfId="0" applyAlignment="1" applyBorder="1" applyFont="1">
      <alignment readingOrder="0" vertical="bottom"/>
    </xf>
    <xf borderId="3" fillId="0" fontId="20" numFmtId="0" xfId="0" applyAlignment="1" applyBorder="1" applyFont="1">
      <alignment readingOrder="0" vertical="bottom"/>
    </xf>
    <xf borderId="5" fillId="0" fontId="20" numFmtId="0" xfId="0" applyAlignment="1" applyBorder="1" applyFont="1">
      <alignment readingOrder="0" vertical="bottom"/>
    </xf>
    <xf borderId="3" fillId="0" fontId="3" numFmtId="0" xfId="0" applyAlignment="1" applyBorder="1" applyFont="1">
      <alignment readingOrder="0" shrinkToFit="0" vertical="top" wrapText="1"/>
    </xf>
    <xf borderId="17" fillId="0" fontId="3" numFmtId="0" xfId="0" applyAlignment="1" applyBorder="1" applyFont="1">
      <alignment readingOrder="0" shrinkToFit="0" wrapText="0"/>
    </xf>
    <xf borderId="0" fillId="4" fontId="3" numFmtId="0" xfId="0" applyAlignment="1" applyFont="1">
      <alignment readingOrder="0" shrinkToFit="0" wrapText="0"/>
    </xf>
    <xf borderId="19" fillId="4" fontId="3" numFmtId="0" xfId="0" applyAlignment="1" applyBorder="1" applyFont="1">
      <alignment readingOrder="0" shrinkToFit="0" wrapText="0"/>
    </xf>
    <xf borderId="26" fillId="0" fontId="3" numFmtId="0" xfId="0" applyAlignment="1" applyBorder="1" applyFont="1">
      <alignment readingOrder="0" shrinkToFit="0" wrapText="0"/>
    </xf>
    <xf borderId="27" fillId="0" fontId="3" numFmtId="0" xfId="0" applyAlignment="1" applyBorder="1" applyFont="1">
      <alignment readingOrder="0" shrinkToFit="0" wrapText="0"/>
    </xf>
    <xf borderId="17" fillId="4" fontId="3" numFmtId="0" xfId="0" applyAlignment="1" applyBorder="1" applyFont="1">
      <alignment readingOrder="0" shrinkToFit="0" wrapText="0"/>
    </xf>
    <xf borderId="0" fillId="4" fontId="3" numFmtId="0" xfId="0" applyFont="1"/>
    <xf borderId="4" fillId="8" fontId="3" numFmtId="0" xfId="0" applyAlignment="1" applyBorder="1" applyFill="1" applyFont="1">
      <alignment readingOrder="0" shrinkToFit="0" wrapText="0"/>
    </xf>
    <xf borderId="4" fillId="8" fontId="3" numFmtId="0" xfId="0" applyAlignment="1" applyBorder="1" applyFont="1">
      <alignment readingOrder="0" shrinkToFit="0" wrapText="0"/>
    </xf>
    <xf borderId="5" fillId="8" fontId="3" numFmtId="0" xfId="0" applyAlignment="1" applyBorder="1" applyFont="1">
      <alignment readingOrder="0" shrinkToFit="0" wrapText="0"/>
    </xf>
    <xf borderId="3" fillId="8" fontId="3" numFmtId="0" xfId="0" applyAlignment="1" applyBorder="1" applyFont="1">
      <alignment readingOrder="0" shrinkToFit="0" wrapText="0"/>
    </xf>
    <xf borderId="4" fillId="8" fontId="20" numFmtId="0" xfId="0" applyAlignment="1" applyBorder="1" applyFont="1">
      <alignment vertical="bottom"/>
    </xf>
    <xf borderId="5" fillId="8" fontId="20" numFmtId="0" xfId="0" applyAlignment="1" applyBorder="1" applyFont="1">
      <alignment vertical="bottom"/>
    </xf>
    <xf borderId="5" fillId="8" fontId="3" numFmtId="0" xfId="0" applyAlignment="1" applyBorder="1" applyFont="1">
      <alignment readingOrder="0" shrinkToFit="0" wrapText="0"/>
    </xf>
    <xf borderId="17" fillId="8" fontId="3" numFmtId="0" xfId="0" applyAlignment="1" applyBorder="1" applyFont="1">
      <alignment readingOrder="0" shrinkToFit="0" wrapText="0"/>
    </xf>
    <xf borderId="19" fillId="8" fontId="3" numFmtId="0" xfId="0" applyAlignment="1" applyBorder="1" applyFont="1">
      <alignment readingOrder="0" shrinkToFit="0" wrapText="0"/>
    </xf>
    <xf borderId="4" fillId="8" fontId="20" numFmtId="0" xfId="0" applyAlignment="1" applyBorder="1" applyFont="1">
      <alignment readingOrder="0" vertical="bottom"/>
    </xf>
    <xf borderId="3" fillId="8" fontId="20" numFmtId="0" xfId="0" applyAlignment="1" applyBorder="1" applyFont="1">
      <alignment readingOrder="0" vertical="bottom"/>
    </xf>
    <xf borderId="19" fillId="0" fontId="3" numFmtId="0" xfId="0" applyAlignment="1" applyBorder="1" applyFont="1">
      <alignment readingOrder="0" shrinkToFit="0" wrapText="0"/>
    </xf>
    <xf borderId="33" fillId="0" fontId="3" numFmtId="0" xfId="0" applyAlignment="1" applyBorder="1" applyFont="1">
      <alignment readingOrder="0" shrinkToFit="0" wrapText="0"/>
    </xf>
    <xf borderId="33" fillId="0" fontId="3" numFmtId="0" xfId="0" applyAlignment="1" applyBorder="1" applyFont="1">
      <alignment shrinkToFit="0" wrapText="0"/>
    </xf>
    <xf borderId="34" fillId="0" fontId="3" numFmtId="0" xfId="0" applyAlignment="1" applyBorder="1" applyFont="1">
      <alignment readingOrder="0" shrinkToFit="0" wrapText="0"/>
    </xf>
    <xf borderId="0" fillId="0" fontId="20" numFmtId="0" xfId="0" applyAlignment="1" applyFont="1">
      <alignment vertical="top"/>
    </xf>
    <xf borderId="0" fillId="0" fontId="20" numFmtId="0" xfId="0" applyAlignment="1" applyFont="1">
      <alignment shrinkToFit="0" vertical="top" wrapText="1"/>
    </xf>
    <xf borderId="0" fillId="0" fontId="32" numFmtId="0" xfId="0" applyAlignment="1" applyFont="1">
      <alignment horizontal="center" shrinkToFit="0" wrapText="1"/>
    </xf>
    <xf borderId="0" fillId="0" fontId="32" numFmtId="0" xfId="0" applyAlignment="1" applyFont="1">
      <alignment horizontal="center" shrinkToFit="0" wrapText="1"/>
    </xf>
    <xf borderId="0" fillId="0" fontId="32" numFmtId="0" xfId="0" applyAlignment="1" applyFont="1">
      <alignment horizontal="center" readingOrder="0" shrinkToFit="0" wrapText="1"/>
    </xf>
    <xf borderId="0" fillId="0" fontId="20" numFmtId="0" xfId="0" applyAlignment="1" applyFont="1">
      <alignment vertical="top"/>
    </xf>
    <xf borderId="0" fillId="0" fontId="33" numFmtId="0" xfId="0" applyAlignment="1" applyFont="1">
      <alignment horizontal="left" shrinkToFit="0" vertical="top" wrapText="1"/>
    </xf>
    <xf borderId="3" fillId="6" fontId="32" numFmtId="0" xfId="0" applyAlignment="1" applyBorder="1" applyFont="1">
      <alignment horizontal="center" shrinkToFit="0" wrapText="1"/>
    </xf>
    <xf borderId="2" fillId="6" fontId="32" numFmtId="0" xfId="0" applyAlignment="1" applyBorder="1" applyFont="1">
      <alignment horizontal="center" shrinkToFit="0" wrapText="1"/>
    </xf>
    <xf borderId="6" fillId="6" fontId="32" numFmtId="0" xfId="0" applyAlignment="1" applyBorder="1" applyFont="1">
      <alignment horizontal="center" shrinkToFit="0" wrapText="1"/>
    </xf>
    <xf borderId="2" fillId="6" fontId="32" numFmtId="0" xfId="0" applyAlignment="1" applyBorder="1" applyFont="1">
      <alignment horizontal="center" readingOrder="0" shrinkToFit="0" wrapText="1"/>
    </xf>
    <xf borderId="2" fillId="7" fontId="16" numFmtId="0" xfId="0" applyAlignment="1" applyBorder="1" applyFont="1">
      <alignment horizontal="center" readingOrder="0" shrinkToFit="0" wrapText="0"/>
    </xf>
    <xf borderId="35" fillId="7" fontId="16" numFmtId="0" xfId="0" applyAlignment="1" applyBorder="1" applyFont="1">
      <alignment horizontal="center" readingOrder="0" shrinkToFit="0" wrapText="1"/>
    </xf>
    <xf borderId="35" fillId="5" fontId="34" numFmtId="0" xfId="0" applyAlignment="1" applyBorder="1" applyFont="1">
      <alignment horizontal="center" shrinkToFit="0" wrapText="1"/>
    </xf>
    <xf borderId="36" fillId="4" fontId="34" numFmtId="0" xfId="0" applyAlignment="1" applyBorder="1" applyFont="1">
      <alignment horizontal="center" shrinkToFit="0" wrapText="1"/>
    </xf>
    <xf borderId="37" fillId="4" fontId="34" numFmtId="0" xfId="0" applyAlignment="1" applyBorder="1" applyFont="1">
      <alignment horizontal="center" shrinkToFit="0" wrapText="1"/>
    </xf>
    <xf borderId="37" fillId="9" fontId="35" numFmtId="0" xfId="0" applyAlignment="1" applyBorder="1" applyFill="1" applyFont="1">
      <alignment horizontal="center" readingOrder="0" shrinkToFit="0" wrapText="1"/>
    </xf>
    <xf borderId="38" fillId="6" fontId="32" numFmtId="0" xfId="0" applyAlignment="1" applyBorder="1" applyFont="1">
      <alignment horizontal="center" shrinkToFit="0" wrapText="1"/>
    </xf>
    <xf borderId="39" fillId="6" fontId="32" numFmtId="0" xfId="0" applyAlignment="1" applyBorder="1" applyFont="1">
      <alignment horizontal="center" shrinkToFit="0" wrapText="1"/>
    </xf>
    <xf borderId="37" fillId="6" fontId="32" numFmtId="0" xfId="0" applyAlignment="1" applyBorder="1" applyFont="1">
      <alignment horizontal="center" shrinkToFit="0" wrapText="1"/>
    </xf>
    <xf borderId="37" fillId="6" fontId="34" numFmtId="0" xfId="0" applyAlignment="1" applyBorder="1" applyFont="1">
      <alignment horizontal="center" readingOrder="0" shrinkToFit="0" wrapText="1"/>
    </xf>
    <xf borderId="37" fillId="6" fontId="34" numFmtId="0" xfId="0" applyAlignment="1" applyBorder="1" applyFont="1">
      <alignment horizontal="center" shrinkToFit="0" wrapText="1"/>
    </xf>
    <xf borderId="36" fillId="6" fontId="34" numFmtId="0" xfId="0" applyAlignment="1" applyBorder="1" applyFont="1">
      <alignment horizontal="center" shrinkToFit="0" wrapText="1"/>
    </xf>
    <xf borderId="3" fillId="0" fontId="34" numFmtId="0" xfId="0" applyAlignment="1" applyBorder="1" applyFont="1">
      <alignment horizontal="center" shrinkToFit="0" vertical="top" wrapText="1"/>
    </xf>
    <xf borderId="35" fillId="0" fontId="36" numFmtId="0" xfId="0" applyAlignment="1" applyBorder="1" applyFont="1">
      <alignment horizontal="left" readingOrder="0" shrinkToFit="0" vertical="top" wrapText="1"/>
    </xf>
    <xf borderId="17" fillId="0" fontId="37" numFmtId="0" xfId="0" applyAlignment="1" applyBorder="1" applyFont="1">
      <alignment horizontal="left" readingOrder="0" shrinkToFit="0" vertical="top" wrapText="1"/>
    </xf>
    <xf borderId="6" fillId="0" fontId="37" numFmtId="0" xfId="0" applyAlignment="1" applyBorder="1" applyFont="1">
      <alignment horizontal="left" readingOrder="0" shrinkToFit="0" vertical="top" wrapText="1"/>
    </xf>
    <xf borderId="35" fillId="0" fontId="37" numFmtId="0" xfId="0" applyAlignment="1" applyBorder="1" applyFont="1">
      <alignment horizontal="left" readingOrder="0" shrinkToFit="0" vertical="top" wrapText="1"/>
    </xf>
    <xf borderId="5" fillId="0" fontId="38" numFmtId="0" xfId="0" applyAlignment="1" applyBorder="1" applyFont="1">
      <alignment horizontal="left" readingOrder="0" shrinkToFit="0" vertical="top" wrapText="1"/>
    </xf>
    <xf borderId="2" fillId="0" fontId="20" numFmtId="0" xfId="0" applyAlignment="1" applyBorder="1" applyFont="1">
      <alignment horizontal="lef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readingOrder="0" vertical="top"/>
    </xf>
    <xf borderId="7" fillId="0" fontId="37" numFmtId="0" xfId="0" applyAlignment="1" applyBorder="1" applyFont="1">
      <alignment horizontal="left" readingOrder="0" shrinkToFit="0" vertical="top" wrapText="1"/>
    </xf>
    <xf borderId="20" fillId="0" fontId="39" numFmtId="0" xfId="0" applyAlignment="1" applyBorder="1" applyFont="1">
      <alignment horizontal="left" readingOrder="0" shrinkToFit="0" vertical="top" wrapText="1"/>
    </xf>
    <xf borderId="7" fillId="0" fontId="39" numFmtId="0" xfId="0" applyAlignment="1" applyBorder="1" applyFont="1">
      <alignment horizontal="left" readingOrder="0" shrinkToFit="0" vertical="top" wrapText="1"/>
    </xf>
    <xf borderId="2" fillId="0" fontId="20" numFmtId="0" xfId="0" applyAlignment="1" applyBorder="1" applyFont="1">
      <alignment vertical="top"/>
    </xf>
    <xf borderId="2" fillId="0" fontId="20" numFmtId="0" xfId="0" applyAlignment="1" applyBorder="1" applyFont="1">
      <alignment horizontal="left" shrinkToFit="0" vertical="top" wrapText="1"/>
    </xf>
    <xf borderId="2" fillId="0" fontId="38" numFmtId="0" xfId="0" applyAlignment="1" applyBorder="1" applyFont="1">
      <alignment horizontal="left" readingOrder="0" shrinkToFit="0" vertical="top" wrapText="1"/>
    </xf>
    <xf borderId="4" fillId="0" fontId="3" numFmtId="0" xfId="0" applyAlignment="1" applyBorder="1" applyFont="1">
      <alignment readingOrder="0" shrinkToFit="0" vertical="top" wrapText="1"/>
    </xf>
    <xf borderId="35" fillId="0" fontId="3" numFmtId="0" xfId="0" applyAlignment="1" applyBorder="1" applyFont="1">
      <alignment readingOrder="0" shrinkToFit="0" vertical="top" wrapText="0"/>
    </xf>
    <xf borderId="7" fillId="0" fontId="40" numFmtId="0" xfId="0" applyAlignment="1" applyBorder="1" applyFont="1">
      <alignment readingOrder="0" shrinkToFit="0" vertical="top" wrapText="0"/>
    </xf>
    <xf borderId="0" fillId="0" fontId="3" numFmtId="0" xfId="0" applyAlignment="1" applyFont="1">
      <alignment readingOrder="0" shrinkToFit="0" vertical="top" wrapText="1"/>
    </xf>
    <xf borderId="6" fillId="0" fontId="3" numFmtId="0" xfId="0" applyAlignment="1" applyBorder="1" applyFont="1">
      <alignment readingOrder="0" shrinkToFit="0" vertical="top" wrapText="1"/>
    </xf>
    <xf borderId="27" fillId="0" fontId="3" numFmtId="0" xfId="0" applyAlignment="1" applyBorder="1" applyFont="1">
      <alignment readingOrder="0" shrinkToFit="0" vertical="top" wrapText="1"/>
    </xf>
    <xf borderId="17" fillId="0" fontId="3" numFmtId="0" xfId="0" applyAlignment="1" applyBorder="1" applyFont="1">
      <alignment readingOrder="0" shrinkToFit="0" vertical="top" wrapText="1"/>
    </xf>
    <xf borderId="7" fillId="0" fontId="37" numFmtId="0" xfId="0" applyAlignment="1" applyBorder="1" applyFont="1">
      <alignment horizontal="left" shrinkToFit="0" vertical="top" wrapText="1"/>
    </xf>
    <xf borderId="5" fillId="0" fontId="3" numFmtId="0" xfId="0" applyAlignment="1" applyBorder="1" applyFont="1">
      <alignment readingOrder="0" shrinkToFit="0" vertical="top" wrapText="1"/>
    </xf>
    <xf borderId="4" fillId="0" fontId="37" numFmtId="0" xfId="0" applyAlignment="1" applyBorder="1" applyFont="1">
      <alignment horizontal="left" readingOrder="0" shrinkToFit="0" vertical="top" wrapText="1"/>
    </xf>
    <xf borderId="20" fillId="0" fontId="37" numFmtId="0" xfId="0" applyAlignment="1" applyBorder="1" applyFont="1">
      <alignment horizontal="left" readingOrder="0" shrinkToFit="0" vertical="top" wrapText="1"/>
    </xf>
    <xf borderId="35" fillId="0" fontId="3" numFmtId="0" xfId="0" applyAlignment="1" applyBorder="1" applyFont="1">
      <alignment readingOrder="0" shrinkToFit="0" vertical="top" wrapText="1"/>
    </xf>
    <xf borderId="8" fillId="0" fontId="3" numFmtId="0" xfId="0" applyAlignment="1" applyBorder="1" applyFont="1">
      <alignment readingOrder="0" shrinkToFit="0" vertical="top" wrapText="1"/>
    </xf>
    <xf borderId="8" fillId="0" fontId="40" numFmtId="0" xfId="0" applyAlignment="1" applyBorder="1" applyFont="1">
      <alignment readingOrder="0" shrinkToFit="0" vertical="top" wrapText="0"/>
    </xf>
    <xf borderId="19" fillId="0" fontId="3" numFmtId="0" xfId="0" applyAlignment="1" applyBorder="1" applyFont="1">
      <alignment horizontal="left" readingOrder="0" shrinkToFit="0" vertical="top" wrapText="1"/>
    </xf>
    <xf borderId="5" fillId="0" fontId="37" numFmtId="0" xfId="0" applyAlignment="1" applyBorder="1" applyFont="1">
      <alignment horizontal="left" readingOrder="0" shrinkToFit="0" vertical="top" wrapText="1"/>
    </xf>
    <xf borderId="8" fillId="0" fontId="37" numFmtId="0" xfId="0" applyAlignment="1" applyBorder="1" applyFont="1">
      <alignment horizontal="left" readingOrder="0" shrinkToFit="0" vertical="top" wrapText="1"/>
    </xf>
    <xf borderId="33" fillId="0" fontId="3" numFmtId="0" xfId="0" applyAlignment="1" applyBorder="1" applyFont="1">
      <alignment horizontal="left" readingOrder="0" shrinkToFit="0" vertical="top" wrapText="1"/>
    </xf>
    <xf borderId="2" fillId="0" fontId="37" numFmtId="0" xfId="0" applyAlignment="1" applyBorder="1" applyFont="1">
      <alignment horizontal="left" readingOrder="0" shrinkToFit="0" vertical="top" wrapText="1"/>
    </xf>
    <xf borderId="20" fillId="0" fontId="37" numFmtId="0" xfId="0" applyAlignment="1" applyBorder="1" applyFont="1">
      <alignment horizontal="left" shrinkToFit="0" vertical="top" wrapText="1"/>
    </xf>
    <xf borderId="35" fillId="0" fontId="3" numFmtId="0" xfId="0" applyAlignment="1" applyBorder="1" applyFont="1">
      <alignment horizontal="left" readingOrder="0" shrinkToFit="0" vertical="top" wrapText="1"/>
    </xf>
    <xf borderId="7" fillId="0" fontId="3" numFmtId="0" xfId="0" applyAlignment="1" applyBorder="1" applyFont="1">
      <alignment horizontal="left" readingOrder="0" shrinkToFit="0" vertical="top" wrapText="1"/>
    </xf>
    <xf borderId="8" fillId="0" fontId="3" numFmtId="0" xfId="0" applyAlignment="1" applyBorder="1" applyFont="1">
      <alignment horizontal="left" readingOrder="0" shrinkToFit="0" vertical="top" wrapText="1"/>
    </xf>
    <xf borderId="26" fillId="0" fontId="37" numFmtId="0" xfId="0" applyAlignment="1" applyBorder="1" applyFont="1">
      <alignment horizontal="left" readingOrder="0" shrinkToFit="0" vertical="top" wrapText="1"/>
    </xf>
    <xf borderId="0" fillId="0" fontId="20" numFmtId="0" xfId="0" applyFont="1"/>
    <xf borderId="0" fillId="0" fontId="20" numFmtId="0" xfId="0" applyAlignment="1" applyFont="1">
      <alignment shrinkToFit="0" wrapText="1"/>
    </xf>
    <xf borderId="17" fillId="0" fontId="3" numFmtId="0" xfId="0" applyAlignment="1" applyBorder="1" applyFont="1">
      <alignment readingOrder="0" shrinkToFit="0" wrapText="1"/>
    </xf>
    <xf borderId="0" fillId="0" fontId="3" numFmtId="0" xfId="0" applyAlignment="1" applyFont="1">
      <alignment readingOrder="0" shrinkToFit="0" wrapText="1"/>
    </xf>
    <xf borderId="0" fillId="0" fontId="20" numFmtId="0" xfId="0" applyAlignment="1" applyFont="1">
      <alignment readingOrder="0" shrinkToFit="0" wrapText="1"/>
    </xf>
    <xf borderId="0" fillId="0" fontId="3" numFmtId="0" xfId="0" applyAlignment="1" applyFont="1">
      <alignment vertical="top"/>
    </xf>
    <xf borderId="0" fillId="0" fontId="30"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41" numFmtId="0" xfId="0" applyAlignment="1" applyBorder="1" applyFont="1">
      <alignment horizontal="right" vertical="bottom"/>
    </xf>
    <xf borderId="2" fillId="0" fontId="42" numFmtId="0" xfId="0" applyAlignment="1" applyBorder="1" applyFont="1">
      <alignment horizontal="right" vertical="bottom"/>
    </xf>
    <xf borderId="2" fillId="0" fontId="42"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10" fontId="17" numFmtId="0" xfId="0" applyAlignment="1" applyBorder="1" applyFill="1" applyFont="1">
      <alignment readingOrder="0" vertical="top"/>
    </xf>
    <xf borderId="35" fillId="6" fontId="43" numFmtId="0" xfId="0" applyAlignment="1" applyBorder="1" applyFont="1">
      <alignment horizontal="center" readingOrder="0" shrinkToFit="0" vertical="top" wrapText="1"/>
    </xf>
    <xf borderId="5" fillId="6" fontId="43"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10" fontId="3" numFmtId="0" xfId="0" applyAlignment="1" applyBorder="1" applyFont="1">
      <alignment vertical="top"/>
    </xf>
    <xf borderId="8" fillId="6" fontId="43" numFmtId="0" xfId="0" applyAlignment="1" applyBorder="1" applyFont="1">
      <alignment horizontal="center" readingOrder="0" shrinkToFit="0" vertical="top" wrapText="1"/>
    </xf>
    <xf borderId="2" fillId="6" fontId="43" numFmtId="0" xfId="0" applyAlignment="1" applyBorder="1" applyFont="1">
      <alignment horizontal="center" readingOrder="0" shrinkToFit="0" vertical="top" wrapText="1"/>
    </xf>
    <xf borderId="8" fillId="10" fontId="3" numFmtId="0" xfId="0" applyAlignment="1" applyBorder="1" applyFont="1">
      <alignment vertical="top"/>
    </xf>
    <xf borderId="2" fillId="10"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0" fontId="8" numFmtId="0" xfId="0" applyAlignment="1" applyBorder="1" applyFont="1">
      <alignment horizontal="left" readingOrder="0" vertical="top"/>
    </xf>
    <xf borderId="35" fillId="10" fontId="8" numFmtId="0" xfId="0" applyAlignment="1" applyBorder="1" applyFont="1">
      <alignment horizontal="left" readingOrder="0" vertical="bottom"/>
    </xf>
    <xf borderId="2" fillId="10"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1"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2" fillId="0" fontId="3" numFmtId="0" xfId="0" applyAlignment="1" applyBorder="1" applyFont="1">
      <alignment readingOrder="0" vertical="top"/>
    </xf>
    <xf borderId="0" fillId="0" fontId="44" numFmtId="0" xfId="0" applyAlignment="1" applyFont="1">
      <alignment readingOrder="0"/>
    </xf>
    <xf borderId="34" fillId="0" fontId="45" numFmtId="0" xfId="0" applyAlignment="1" applyBorder="1" applyFont="1">
      <alignment readingOrder="0" vertical="top"/>
    </xf>
    <xf borderId="0" fillId="0" fontId="46" numFmtId="0" xfId="0" applyAlignment="1" applyFont="1">
      <alignment readingOrder="0"/>
    </xf>
    <xf borderId="2" fillId="0" fontId="7" numFmtId="0" xfId="0" applyAlignment="1" applyBorder="1" applyFont="1">
      <alignment readingOrder="0" shrinkToFit="0" vertical="top" wrapText="1"/>
    </xf>
    <xf borderId="0" fillId="0" fontId="47"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0" fillId="0" fontId="48" numFmtId="0" xfId="0" applyFont="1"/>
    <xf borderId="0" fillId="0" fontId="3" numFmtId="166" xfId="0" applyFont="1" applyNumberFormat="1"/>
    <xf borderId="2" fillId="4" fontId="8" numFmtId="0" xfId="0" applyAlignment="1" applyBorder="1" applyFont="1">
      <alignment horizontal="center" readingOrder="0" vertical="bottom"/>
    </xf>
    <xf borderId="8" fillId="15"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6" fontId="8" numFmtId="0" xfId="0" applyAlignment="1" applyBorder="1" applyFill="1" applyFont="1">
      <alignment horizontal="center" vertical="bottom"/>
    </xf>
    <xf borderId="5" fillId="0" fontId="49" numFmtId="0" xfId="0" applyBorder="1" applyFont="1"/>
    <xf borderId="4" fillId="16" fontId="8" numFmtId="0" xfId="0" applyAlignment="1" applyBorder="1" applyFont="1">
      <alignment horizontal="center" vertical="bottom"/>
    </xf>
    <xf borderId="19" fillId="16" fontId="8" numFmtId="0" xfId="0" applyAlignment="1" applyBorder="1" applyFont="1">
      <alignment horizontal="center" vertical="bottom"/>
    </xf>
    <xf borderId="2" fillId="16" fontId="8" numFmtId="0" xfId="0" applyAlignment="1" applyBorder="1" applyFont="1">
      <alignment horizontal="center" readingOrder="0" vertical="bottom"/>
    </xf>
    <xf borderId="8" fillId="16" fontId="8" numFmtId="0" xfId="0" applyAlignment="1" applyBorder="1" applyFont="1">
      <alignment horizontal="center" readingOrder="0" vertical="bottom"/>
    </xf>
    <xf borderId="2" fillId="16" fontId="8" numFmtId="0" xfId="0" applyAlignment="1" applyBorder="1" applyFont="1">
      <alignment horizontal="center" vertical="bottom"/>
    </xf>
    <xf borderId="34" fillId="16" fontId="8" numFmtId="0" xfId="0" applyAlignment="1" applyBorder="1" applyFont="1">
      <alignment horizontal="center" vertical="bottom"/>
    </xf>
    <xf borderId="34" fillId="0" fontId="49"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9" numFmtId="0" xfId="0" applyBorder="1" applyFont="1"/>
    <xf borderId="34" fillId="0" fontId="8" numFmtId="0" xfId="0" applyAlignment="1" applyBorder="1" applyFont="1">
      <alignment shrinkToFit="0" vertical="bottom" wrapText="0"/>
    </xf>
    <xf borderId="8" fillId="0" fontId="49"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4"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4" fontId="20" numFmtId="0" xfId="0" applyAlignment="1" applyBorder="1" applyFont="1">
      <alignment vertical="bottom"/>
    </xf>
    <xf borderId="2" fillId="0" fontId="20" numFmtId="167"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8"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7" fontId="50" numFmtId="0" xfId="0" applyAlignment="1" applyFill="1" applyFont="1">
      <alignment readingOrder="0"/>
    </xf>
    <xf borderId="0" fillId="17" fontId="51" numFmtId="0" xfId="0" applyFont="1"/>
    <xf borderId="0" fillId="17" fontId="51" numFmtId="0" xfId="0" applyAlignment="1" applyFont="1">
      <alignment readingOrder="0"/>
    </xf>
    <xf borderId="27" fillId="0" fontId="20" numFmtId="0" xfId="0" applyAlignment="1" applyBorder="1" applyFont="1">
      <alignment vertical="bottom"/>
    </xf>
    <xf borderId="5" fillId="18" fontId="20" numFmtId="0" xfId="0" applyAlignment="1" applyBorder="1" applyFill="1" applyFont="1">
      <alignment vertical="bottom"/>
    </xf>
    <xf borderId="8" fillId="0" fontId="20" numFmtId="0" xfId="0" applyAlignment="1" applyBorder="1" applyFont="1">
      <alignment vertical="bottom"/>
    </xf>
    <xf borderId="27" fillId="0" fontId="49"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8" fontId="3" numFmtId="0" xfId="0" applyAlignment="1" applyBorder="1" applyFont="1">
      <alignment readingOrder="0"/>
    </xf>
    <xf borderId="3" fillId="0" fontId="3" numFmtId="0" xfId="0" applyAlignment="1" applyBorder="1" applyFont="1">
      <alignment readingOrder="0"/>
    </xf>
    <xf borderId="4" fillId="0" fontId="49" numFmtId="0" xfId="0" applyBorder="1" applyFont="1"/>
    <xf borderId="3" fillId="5" fontId="3" numFmtId="0" xfId="0" applyAlignment="1" applyBorder="1" applyFont="1">
      <alignment readingOrder="0"/>
    </xf>
    <xf borderId="5" fillId="18"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4946346"/>
        <c:axId val="24351068"/>
      </c:lineChart>
      <c:catAx>
        <c:axId val="149463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4351068"/>
      </c:catAx>
      <c:valAx>
        <c:axId val="243510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94634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395104831"/>
        <c:axId val="1532541436"/>
      </c:lineChart>
      <c:catAx>
        <c:axId val="3951048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532541436"/>
      </c:catAx>
      <c:valAx>
        <c:axId val="15325414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5104831"/>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水木圭" id="{3eb06d28-cf7a-4c27-82d4-46b1193043c5}" providerId="google-sheets"/>
  <x18tc:person displayName="浦本奈々" id="{90931077-8746-404e-9544-c4dcaeec7ee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7-16T05:46:53.00" personId="{3eb06d28-cf7a-4c27-82d4-46b1193043c5}" id="{46a16762-d109-491b-943a-02b2c5c22467}" done="0">
    <x18tc:text xml:space="preserve">こちらも発注稟議作成画面での確認ではなく、その先の「承認者を追加」の画面での確認になると思うので修正をお願いします</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8" dT="2025-07-16T05:44:18.00" personId="{3eb06d28-cf7a-4c27-82d4-46b1193043c5}" id="{cdff3b4f-6f0b-49a8-83e3-80d02336e5f9}" done="0">
    <x18tc:text xml:space="preserve">こちらも事前申請の画面ではなく「承認者を追加」の画面での確認になると思うので修正をお願いします</x18tc:text>
  </x18tc:threadedComment>
  <x18tc:threadedComment ref="F39" dT="2025-07-16T05:45:03.00" personId="{3eb06d28-cf7a-4c27-82d4-46b1193043c5}" id="{8b756ce8-c90e-4867-98ab-a0a5e1c1ef08}" done="0">
    <x18tc:text xml:space="preserve">上記と同様</x18tc:text>
  </x18tc:threadedComment>
  <x18tc:threadedComment ref="F36" dT="2025-07-16T04:48:50.00" personId="{3eb06d28-cf7a-4c27-82d4-46b1193043c5}" id="{c4300a1e-354e-4525-98d7-daeb6860ec1c}" done="0">
    <x18tc:text xml:space="preserve">基本的には確認する対象の画面名だけ書きたいのですが、今回のテスト対象の「承認者を追加」は他の画面から遷移した場合も同じ名前になっていて区別がつかないので、経費&gt;申請&gt;承認者を追加
としたいです</x18tc:text>
  </x18tc:threadedComment>
  <x18tc:threadedComment ref="I48" dT="2025-07-16T05:49:11.00" personId="{3eb06d28-cf7a-4c27-82d4-46b1193043c5}" id="{68d9fdf3-2194-4172-ada8-80ab73558b23}" done="0">
    <x18tc:text xml:space="preserve">従業員一覧画面の「従業員」に表示されているメールアドレスを確認する項目だと思うので、ここは「従業員」としたいです</x18tc:text>
  </x18tc:threadedComment>
  <x18tc:threadedComment ref="F37" dT="2025-07-16T04:50:44.00" personId="{3eb06d28-cf7a-4c27-82d4-46b1193043c5}" id="{6d3ed22f-92a8-4ee0-9c54-b5b232ca56d8}" done="0">
    <x18tc:text xml:space="preserve">請求書詳細から承認者の追加画面ってどこからいけますか？</x18tc:text>
  </x18tc:threadedComment>
  <x18tc:threadedComment ref="K48" dT="2025-07-16T05:50:04.00" personId="{3eb06d28-cf7a-4c27-82d4-46b1193043c5}" id="{f588000d-d43a-4a3f-a8f6-0c5b3fee5f27}" done="0">
    <x18tc:text xml:space="preserve">従業員一覧の従業員列に表示されているメールアドレスを確認する項目だと思うので、ここをメールアドレスとしたいです</x18tc:text>
  </x18tc:threadedComment>
  <x18tc:threadedComment ref="K36" dT="2025-07-16T04:43:51.00" personId="{3eb06d28-cf7a-4c27-82d4-46b1193043c5}" id="{46f97d8a-7161-4a91-b6b8-23916f2376b9}" done="0">
    <x18tc:text xml:space="preserve">これは画面の名前だと思うので、ここが「メールアドレス」になると思います
メールアドレス以外に確認するものはないでしょうか？</x18tc:text>
  </x18tc:threadedComment>
  <x18tc:threadedComment ref="F41" dT="2025-07-16T05:45:15.00" personId="{3eb06d28-cf7a-4c27-82d4-46b1193043c5}" id="{8437ac24-ffda-4421-8331-e0365eacb17a}" done="0">
    <x18tc:text xml:space="preserve">上記と同様</x18tc:text>
  </x18tc:threadedComment>
  <x18tc:threadedComment ref="I36" dT="2025-07-16T04:46:31.00" personId="{3eb06d28-cf7a-4c27-82d4-46b1193043c5}" id="{978b136c-ef53-420d-952b-3255e2a92f55}" done="0">
    <x18tc:text xml:space="preserve">確認する対象は「承認者を追加」モーダルに表示される承認者の一覧なので、ここは「承認者の一覧」としたいです</x18tc:text>
  </x18tc:threadedComment>
  <x18tc:threadedComment ref="F40" dT="2025-07-16T05:45:09.00" personId="{3eb06d28-cf7a-4c27-82d4-46b1193043c5}" id="{b1314654-b887-48d4-9d8a-89a519212626}" done="0">
    <x18tc:text xml:space="preserve">上記と同様</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5" dT="2025-07-22T06:25:48.00" personId="{3eb06d28-cf7a-4c27-82d4-46b1193043c5}" id="{5f56bc58-8b6f-4a19-8276-b6813488dc3a}" done="0">
    <x18tc:text xml:space="preserve">対象外とした理由を記載してほしいです</x18tc:text>
  </x18tc:threadedComment>
  <x18tc:threadedComment ref="N5" dT="2025-07-22T06:29:08.00" personId="{90931077-8746-404e-9544-c4dcaeec7ee4}" id="{f862978f-a734-435d-8e18-7a6594513a15}" parentId="{5f56bc58-8b6f-4a19-8276-b6813488dc3a}">
    <x18tc:text xml:space="preserve">TK単体には請求書項目がないため対象外にしております</x18tc:text>
  </x18tc:threadedComment>
  <x18tc:threadedComment ref="L5" dT="2025-07-22T06:25:53.00" personId="{3eb06d28-cf7a-4c27-82d4-46b1193043c5}" id="{84fb29ff-c107-491a-9593-a19af29606c3}" done="0">
    <x18tc:text xml:space="preserve">対象外とした理由を記載してほしいです</x18tc:text>
  </x18tc:threadedComment>
  <x18tc:threadedComment ref="L5" dT="2025-07-22T06:28:47.00" personId="{90931077-8746-404e-9544-c4dcaeec7ee4}" id="{2657a509-39ed-4478-a62a-37d1a465556b}" parentId="{84fb29ff-c107-491a-9593-a19af29606c3}">
    <x18tc:text xml:space="preserve">TK+TDには請求書項目がないため対象外にしております</x18tc:text>
  </x18tc:threadedComment>
  <x18tc:threadedComment ref="M4" dT="2025-07-22T06:25:32.00" personId="{3eb06d28-cf7a-4c27-82d4-46b1193043c5}" id="{cad5d7da-7842-43ad-809c-d854b9477335}" done="0">
    <x18tc:text xml:space="preserve">対象外とした理由を記載してほしいです</x18tc:text>
  </x18tc:threadedComment>
  <x18tc:threadedComment ref="M4" dT="2025-07-22T06:29:29.00" personId="{90931077-8746-404e-9544-c4dcaeec7ee4}" id="{ccec045a-dc7e-4462-82eb-0a1ce9275d7f}" parentId="{cad5d7da-7842-43ad-809c-d854b9477335}">
    <x18tc:text xml:space="preserve">TI+TDには経費項目がないため対象外にしております</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UqjouvtPcRRuq7eg7WcYznFRmMbOXGI4Fubb6qJ1-KA/edit?pli=1&amp;gid=765471682"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https://docs.google.com/spreadsheets/d/1wh6Z4twhbYbKhJbysczRRsjM8pkDpkmLRocCG1pco-g/edit" TargetMode="External"/><Relationship Id="rId6" Type="http://schemas.openxmlformats.org/officeDocument/2006/relationships/hyperlink" Target="https://docs.google.com/spreadsheets/d/1Iimc03WKfcmfLyiBbmZbtfcC9RUjtgdF4O8aosLOoFk/edit?gid=1313577871" TargetMode="External"/><Relationship Id="rId7" Type="http://schemas.openxmlformats.org/officeDocument/2006/relationships/hyperlink" Target="https://docs.google.com/spreadsheets/d/1flvqVgReHsZYZa-aAdE46ixwuvpJ_Regafid6LaLrrk/edit?gid=0" TargetMode="External"/><Relationship Id="rId8" Type="http://schemas.openxmlformats.org/officeDocument/2006/relationships/hyperlink" Target="https://docs.google.com/spreadsheets/d/1flvqVgReHsZYZa-aAdE46ixwuvpJ_Regafid6LaLrrk/edit?gid=0"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beartail.atlassian.net/browse/IP-7261" TargetMode="External"/><Relationship Id="rId9" Type="http://schemas.openxmlformats.org/officeDocument/2006/relationships/vmlDrawing" Target="../drawings/vmlDrawing2.vml"/><Relationship Id="rId5" Type="http://schemas.openxmlformats.org/officeDocument/2006/relationships/hyperlink" Target="https://beartail.slack.com/archives/C02QY42J0UE/p1752194948661429" TargetMode="External"/><Relationship Id="rId6" Type="http://schemas.openxmlformats.org/officeDocument/2006/relationships/hyperlink" Target="https://docs.google.com/spreadsheets/d/1e2Pk_zw0yr_u37MU3mpFVcOYchU6kJVeyTSinkkvjUg/edit?gid=397942537" TargetMode="External"/><Relationship Id="rId7" Type="http://schemas.openxmlformats.org/officeDocument/2006/relationships/hyperlink" Target="https://www.notion.so/211a2eba329680089561f0acec31a9d9"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beartail.slack.com/archives/CRTSZURS9/p1753317540432899?thread_ts=1753246556.964489&amp;cid=CRTSZURS9" TargetMode="External"/><Relationship Id="rId2" Type="http://schemas.openxmlformats.org/officeDocument/2006/relationships/hyperlink" Target="https://docs.google.com/spreadsheets/d/1lpI2PvswXAshrJZejK-0LhSpSz_K7qn2evbgvDWfvs4/edit?gid=0" TargetMode="External"/><Relationship Id="rId3" Type="http://schemas.openxmlformats.org/officeDocument/2006/relationships/hyperlink" Target="https://docs.google.com/spreadsheets/d/1I-dzpe8u7dvFMGbCcLNcqkPeg7Np8zQ0F_hSI46TfwY/edit?gid=1319472079" TargetMode="External"/><Relationship Id="rId4" Type="http://schemas.openxmlformats.org/officeDocument/2006/relationships/hyperlink" Target="https://beartail.slack.com/archives/CRTSZURS9/p1753317540432899?thread_ts=1753246556.964489&amp;cid=CRTSZURS9"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4" location="gid=765471682" ref="C15"/>
    <hyperlink r:id="rId5" location="gid=0" ref="C16"/>
    <hyperlink r:id="rId6" location="gid=1313577871" ref="C18"/>
    <hyperlink r:id="rId7" location="gid=0" ref="E22"/>
    <hyperlink r:id="rId8" location="gid=0" ref="E23"/>
  </hyperlinks>
  <drawing r:id="rId9"/>
  <legacy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8" width="11.38"/>
  </cols>
  <sheetData>
    <row r="1">
      <c r="A1" s="34"/>
      <c r="B1" s="83"/>
      <c r="C1" s="34"/>
      <c r="D1" s="34"/>
    </row>
    <row r="2">
      <c r="A2" s="34"/>
      <c r="B2" s="84" t="s">
        <v>96</v>
      </c>
      <c r="C2" s="85"/>
      <c r="D2" s="85"/>
      <c r="E2" s="85"/>
      <c r="F2" s="86"/>
    </row>
    <row r="3">
      <c r="A3" s="34"/>
      <c r="B3" s="58"/>
      <c r="H3" s="87" t="s">
        <v>97</v>
      </c>
      <c r="I3" s="58"/>
    </row>
    <row r="4">
      <c r="A4" s="34"/>
      <c r="B4" s="88" t="s">
        <v>98</v>
      </c>
      <c r="C4" s="89"/>
      <c r="D4" s="89"/>
      <c r="E4" s="89"/>
      <c r="F4" s="90"/>
      <c r="H4" s="91" t="s">
        <v>99</v>
      </c>
      <c r="I4" s="92" t="s">
        <v>100</v>
      </c>
    </row>
    <row r="5">
      <c r="A5" s="34"/>
      <c r="B5" s="93" t="s">
        <v>101</v>
      </c>
      <c r="F5" s="94"/>
      <c r="H5" s="95" t="s">
        <v>102</v>
      </c>
      <c r="I5" s="96" t="s">
        <v>42</v>
      </c>
      <c r="J5" s="34"/>
    </row>
    <row r="6">
      <c r="A6" s="34"/>
      <c r="B6" s="97"/>
      <c r="C6" s="98"/>
      <c r="D6" s="98"/>
      <c r="E6" s="98"/>
      <c r="F6" s="99"/>
      <c r="H6" s="91" t="s">
        <v>103</v>
      </c>
      <c r="I6" s="100" t="s">
        <v>104</v>
      </c>
      <c r="J6" s="34"/>
    </row>
    <row r="7">
      <c r="A7" s="34"/>
      <c r="B7" s="34"/>
      <c r="C7" s="34"/>
      <c r="J7" s="34"/>
    </row>
    <row r="8">
      <c r="A8" s="34"/>
      <c r="B8" s="101"/>
      <c r="C8" s="34"/>
      <c r="D8" s="34"/>
      <c r="J8" s="34"/>
    </row>
    <row r="9">
      <c r="A9" s="34"/>
      <c r="B9" s="84" t="s">
        <v>105</v>
      </c>
      <c r="C9" s="85"/>
      <c r="D9" s="85"/>
      <c r="J9" s="34"/>
    </row>
    <row r="10">
      <c r="A10" s="34"/>
      <c r="B10" s="102" t="s">
        <v>106</v>
      </c>
      <c r="D10" s="34"/>
      <c r="E10" s="103" t="s">
        <v>107</v>
      </c>
      <c r="H10" s="103" t="s">
        <v>108</v>
      </c>
      <c r="J10" s="34"/>
      <c r="K10" s="102" t="s">
        <v>109</v>
      </c>
      <c r="L10" s="104" t="s">
        <v>110</v>
      </c>
      <c r="N10" s="102" t="s">
        <v>111</v>
      </c>
      <c r="O10" s="105"/>
    </row>
    <row r="11">
      <c r="A11" s="34"/>
      <c r="B11" s="106" t="s">
        <v>112</v>
      </c>
      <c r="C11" s="107" t="s">
        <v>8</v>
      </c>
      <c r="E11" s="108" t="s">
        <v>113</v>
      </c>
      <c r="F11" s="107" t="s">
        <v>8</v>
      </c>
      <c r="H11" s="108" t="s">
        <v>114</v>
      </c>
      <c r="I11" s="107" t="s">
        <v>42</v>
      </c>
      <c r="J11" s="34"/>
      <c r="K11" s="109" t="s">
        <v>115</v>
      </c>
      <c r="L11" s="107" t="s">
        <v>42</v>
      </c>
      <c r="N11" s="109" t="s">
        <v>116</v>
      </c>
      <c r="O11" s="107" t="s">
        <v>8</v>
      </c>
    </row>
    <row r="12">
      <c r="A12" s="34"/>
      <c r="B12" s="110" t="s">
        <v>117</v>
      </c>
      <c r="C12" s="107" t="s">
        <v>8</v>
      </c>
      <c r="E12" s="108" t="s">
        <v>118</v>
      </c>
      <c r="F12" s="107" t="s">
        <v>8</v>
      </c>
      <c r="H12" s="108" t="s">
        <v>119</v>
      </c>
      <c r="I12" s="107" t="s">
        <v>42</v>
      </c>
      <c r="J12" s="34"/>
      <c r="K12" s="111" t="s">
        <v>120</v>
      </c>
      <c r="L12" s="107" t="s">
        <v>42</v>
      </c>
      <c r="N12" s="111" t="s">
        <v>121</v>
      </c>
      <c r="O12" s="107" t="s">
        <v>8</v>
      </c>
    </row>
    <row r="13">
      <c r="A13" s="34"/>
      <c r="B13" s="112" t="s">
        <v>122</v>
      </c>
      <c r="C13" s="107" t="s">
        <v>8</v>
      </c>
      <c r="H13" s="108" t="s">
        <v>123</v>
      </c>
      <c r="I13" s="107" t="s">
        <v>42</v>
      </c>
      <c r="J13" s="34"/>
      <c r="K13" s="111" t="s">
        <v>124</v>
      </c>
      <c r="L13" s="107" t="s">
        <v>42</v>
      </c>
      <c r="N13" s="111" t="s">
        <v>125</v>
      </c>
      <c r="O13" s="107" t="s">
        <v>8</v>
      </c>
    </row>
    <row r="14">
      <c r="A14" s="34"/>
      <c r="B14" s="110" t="s">
        <v>126</v>
      </c>
      <c r="C14" s="107" t="s">
        <v>8</v>
      </c>
      <c r="E14" s="103" t="s">
        <v>127</v>
      </c>
      <c r="F14" s="58"/>
      <c r="H14" s="108" t="s">
        <v>128</v>
      </c>
      <c r="I14" s="107" t="s">
        <v>42</v>
      </c>
      <c r="J14" s="34"/>
      <c r="K14" s="111" t="s">
        <v>129</v>
      </c>
      <c r="L14" s="107" t="s">
        <v>42</v>
      </c>
      <c r="N14" s="111" t="s">
        <v>130</v>
      </c>
      <c r="O14" s="107" t="s">
        <v>8</v>
      </c>
    </row>
    <row r="15">
      <c r="A15" s="34"/>
      <c r="B15" s="110" t="s">
        <v>131</v>
      </c>
      <c r="C15" s="107" t="s">
        <v>42</v>
      </c>
      <c r="E15" s="108" t="s">
        <v>132</v>
      </c>
      <c r="F15" s="107" t="s">
        <v>8</v>
      </c>
      <c r="H15" s="108" t="s">
        <v>133</v>
      </c>
      <c r="I15" s="107" t="s">
        <v>42</v>
      </c>
      <c r="J15" s="34"/>
      <c r="K15" s="113" t="s">
        <v>134</v>
      </c>
      <c r="L15" s="107" t="s">
        <v>8</v>
      </c>
      <c r="N15" s="113" t="s">
        <v>135</v>
      </c>
      <c r="O15" s="107" t="s">
        <v>8</v>
      </c>
    </row>
    <row r="16">
      <c r="A16" s="34"/>
      <c r="B16" s="111" t="s">
        <v>136</v>
      </c>
      <c r="C16" s="107" t="s">
        <v>42</v>
      </c>
      <c r="E16" s="108" t="s">
        <v>137</v>
      </c>
      <c r="F16" s="107" t="s">
        <v>8</v>
      </c>
      <c r="H16" s="108" t="s">
        <v>138</v>
      </c>
      <c r="I16" s="107" t="s">
        <v>42</v>
      </c>
      <c r="J16" s="34"/>
      <c r="K16" s="113" t="s">
        <v>139</v>
      </c>
      <c r="L16" s="107" t="s">
        <v>42</v>
      </c>
      <c r="O16" s="114"/>
    </row>
    <row r="17">
      <c r="A17" s="34"/>
      <c r="B17" s="103"/>
      <c r="C17" s="115"/>
      <c r="D17" s="34"/>
      <c r="E17" s="108" t="s">
        <v>140</v>
      </c>
      <c r="F17" s="107" t="s">
        <v>8</v>
      </c>
      <c r="H17" s="108" t="s">
        <v>141</v>
      </c>
      <c r="I17" s="107" t="s">
        <v>42</v>
      </c>
      <c r="J17" s="34"/>
      <c r="K17" s="113" t="s">
        <v>142</v>
      </c>
      <c r="L17" s="107" t="s">
        <v>42</v>
      </c>
      <c r="O17" s="114"/>
    </row>
    <row r="18">
      <c r="A18" s="34"/>
      <c r="B18" s="103"/>
      <c r="C18" s="115"/>
      <c r="D18" s="34"/>
      <c r="E18" s="108" t="s">
        <v>143</v>
      </c>
      <c r="F18" s="107" t="s">
        <v>8</v>
      </c>
      <c r="H18" s="108" t="s">
        <v>144</v>
      </c>
      <c r="I18" s="107" t="s">
        <v>42</v>
      </c>
      <c r="J18" s="34"/>
      <c r="K18" s="116" t="s">
        <v>145</v>
      </c>
      <c r="L18" s="107" t="s">
        <v>8</v>
      </c>
      <c r="O18" s="114"/>
    </row>
    <row r="19">
      <c r="A19" s="34"/>
      <c r="H19" s="108" t="s">
        <v>146</v>
      </c>
      <c r="I19" s="107" t="s">
        <v>42</v>
      </c>
      <c r="J19" s="34"/>
      <c r="K19" s="113" t="s">
        <v>147</v>
      </c>
      <c r="L19" s="107" t="s">
        <v>42</v>
      </c>
      <c r="O19" s="114"/>
    </row>
    <row r="20">
      <c r="A20" s="34"/>
      <c r="H20" s="108" t="s">
        <v>148</v>
      </c>
      <c r="I20" s="107" t="s">
        <v>42</v>
      </c>
      <c r="J20" s="34"/>
      <c r="K20" s="117" t="s">
        <v>149</v>
      </c>
      <c r="L20" s="107" t="s">
        <v>42</v>
      </c>
    </row>
    <row r="21">
      <c r="A21" s="34"/>
      <c r="H21" s="108" t="s">
        <v>150</v>
      </c>
      <c r="I21" s="107" t="s">
        <v>42</v>
      </c>
      <c r="J21" s="34"/>
      <c r="K21" s="116" t="s">
        <v>151</v>
      </c>
      <c r="L21" s="107" t="s">
        <v>42</v>
      </c>
    </row>
    <row r="22">
      <c r="A22" s="34"/>
      <c r="H22" s="58" t="s">
        <v>152</v>
      </c>
      <c r="J22" s="34"/>
      <c r="K22" s="116" t="s">
        <v>153</v>
      </c>
      <c r="L22" s="107" t="s">
        <v>42</v>
      </c>
      <c r="M22" s="118"/>
    </row>
    <row r="23">
      <c r="A23" s="34"/>
      <c r="H23" s="58" t="s">
        <v>154</v>
      </c>
      <c r="J23" s="34"/>
      <c r="K23" s="116" t="s">
        <v>155</v>
      </c>
      <c r="L23" s="107" t="s">
        <v>42</v>
      </c>
    </row>
    <row r="24">
      <c r="A24" s="34"/>
      <c r="B24" s="34"/>
      <c r="C24" s="34"/>
      <c r="D24" s="34"/>
      <c r="G24" s="34"/>
      <c r="J24" s="34"/>
      <c r="K24" s="119" t="s">
        <v>156</v>
      </c>
      <c r="L24" s="107"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9" t="s">
        <v>157</v>
      </c>
      <c r="L25" s="107" t="s">
        <v>42</v>
      </c>
    </row>
    <row r="26">
      <c r="A26" s="34"/>
      <c r="E26" s="103"/>
      <c r="F26" s="115"/>
    </row>
    <row r="27">
      <c r="A27" s="34"/>
      <c r="B27" s="120" t="s">
        <v>158</v>
      </c>
      <c r="C27" s="121"/>
      <c r="D27" s="122"/>
    </row>
    <row r="28">
      <c r="A28" s="34"/>
      <c r="B28" s="123" t="s">
        <v>159</v>
      </c>
      <c r="C28" s="115"/>
      <c r="D28" s="34"/>
    </row>
    <row r="29">
      <c r="A29" s="34"/>
      <c r="B29" s="123" t="s">
        <v>160</v>
      </c>
      <c r="D29" s="34"/>
    </row>
    <row r="30">
      <c r="A30" s="34"/>
      <c r="B30" s="123" t="s">
        <v>161</v>
      </c>
      <c r="C30" s="124"/>
      <c r="D30" s="34"/>
    </row>
    <row r="31">
      <c r="A31" s="34"/>
      <c r="B31" s="123" t="s">
        <v>162</v>
      </c>
      <c r="C31" s="124"/>
      <c r="D31" s="34"/>
    </row>
    <row r="32">
      <c r="A32" s="34"/>
      <c r="B32" s="123"/>
      <c r="C32" s="115"/>
      <c r="D32" s="34"/>
    </row>
    <row r="33">
      <c r="A33" s="34"/>
      <c r="B33" s="103"/>
      <c r="C33" s="115"/>
      <c r="D33" s="34"/>
    </row>
    <row r="34">
      <c r="A34" s="34"/>
      <c r="B34" s="123" t="s">
        <v>163</v>
      </c>
      <c r="C34" s="125" t="s">
        <v>164</v>
      </c>
      <c r="D34" s="34"/>
    </row>
    <row r="35">
      <c r="A35" s="34"/>
      <c r="B35" s="126" t="s">
        <v>165</v>
      </c>
      <c r="C35" s="127"/>
      <c r="D35" s="127"/>
      <c r="E35" s="128"/>
      <c r="F35" s="129" t="s">
        <v>166</v>
      </c>
      <c r="G35" s="130"/>
      <c r="H35" s="131"/>
      <c r="I35" s="129" t="s">
        <v>167</v>
      </c>
      <c r="J35" s="130"/>
      <c r="K35" s="129" t="s">
        <v>168</v>
      </c>
      <c r="L35" s="132"/>
      <c r="M35" s="133"/>
      <c r="N35" s="130" t="s">
        <v>169</v>
      </c>
      <c r="O35" s="131"/>
      <c r="P35" s="134"/>
    </row>
    <row r="36">
      <c r="A36" s="34"/>
      <c r="B36" s="135" t="s">
        <v>170</v>
      </c>
      <c r="C36" s="136"/>
      <c r="D36" s="136"/>
      <c r="E36" s="137"/>
      <c r="F36" s="138" t="s">
        <v>171</v>
      </c>
      <c r="G36" s="139"/>
      <c r="H36" s="140"/>
      <c r="I36" s="141" t="s">
        <v>172</v>
      </c>
      <c r="J36" s="139"/>
      <c r="K36" s="141" t="s">
        <v>173</v>
      </c>
      <c r="L36" s="142"/>
      <c r="M36" s="143"/>
      <c r="N36" s="138"/>
      <c r="O36" s="144"/>
      <c r="P36" s="145"/>
      <c r="Q36" s="58" t="s">
        <v>174</v>
      </c>
    </row>
    <row r="37">
      <c r="A37" s="34"/>
      <c r="B37" s="146"/>
      <c r="C37" s="96"/>
      <c r="D37" s="96"/>
      <c r="E37" s="147"/>
      <c r="F37" s="138" t="s">
        <v>175</v>
      </c>
      <c r="G37" s="148"/>
      <c r="H37" s="149"/>
      <c r="I37" s="141" t="s">
        <v>172</v>
      </c>
      <c r="J37" s="139"/>
      <c r="K37" s="141" t="s">
        <v>173</v>
      </c>
      <c r="L37" s="142"/>
      <c r="M37" s="143"/>
      <c r="N37" s="138"/>
      <c r="O37" s="144"/>
      <c r="P37" s="134"/>
      <c r="Q37" s="58" t="s">
        <v>176</v>
      </c>
    </row>
    <row r="38">
      <c r="A38" s="34"/>
      <c r="B38" s="146"/>
      <c r="C38" s="96"/>
      <c r="D38" s="96"/>
      <c r="E38" s="147"/>
      <c r="F38" s="136" t="s">
        <v>177</v>
      </c>
      <c r="G38" s="150"/>
      <c r="H38" s="151"/>
      <c r="I38" s="141" t="s">
        <v>172</v>
      </c>
      <c r="J38" s="139"/>
      <c r="K38" s="141" t="s">
        <v>173</v>
      </c>
      <c r="L38" s="142"/>
      <c r="M38" s="143"/>
      <c r="N38" s="138"/>
      <c r="O38" s="144"/>
      <c r="P38" s="134"/>
    </row>
    <row r="39">
      <c r="A39" s="34"/>
      <c r="B39" s="146"/>
      <c r="C39" s="96"/>
      <c r="D39" s="96"/>
      <c r="E39" s="147"/>
      <c r="F39" s="136" t="s">
        <v>178</v>
      </c>
      <c r="G39" s="150"/>
      <c r="H39" s="151"/>
      <c r="I39" s="141" t="s">
        <v>172</v>
      </c>
      <c r="J39" s="139"/>
      <c r="K39" s="141" t="s">
        <v>173</v>
      </c>
      <c r="L39" s="142"/>
      <c r="M39" s="143"/>
      <c r="N39" s="138"/>
      <c r="O39" s="144"/>
      <c r="P39" s="134"/>
    </row>
    <row r="40">
      <c r="A40" s="34"/>
      <c r="B40" s="146"/>
      <c r="C40" s="96"/>
      <c r="D40" s="96"/>
      <c r="E40" s="147"/>
      <c r="F40" s="136" t="s">
        <v>179</v>
      </c>
      <c r="G40" s="150"/>
      <c r="H40" s="151"/>
      <c r="I40" s="141" t="s">
        <v>172</v>
      </c>
      <c r="J40" s="139"/>
      <c r="K40" s="141" t="s">
        <v>173</v>
      </c>
      <c r="L40" s="142"/>
      <c r="M40" s="143"/>
      <c r="N40" s="138"/>
      <c r="O40" s="144"/>
      <c r="P40" s="134"/>
      <c r="Q40" s="58" t="s">
        <v>180</v>
      </c>
    </row>
    <row r="41">
      <c r="A41" s="34"/>
      <c r="B41" s="146"/>
      <c r="C41" s="96"/>
      <c r="D41" s="96"/>
      <c r="E41" s="147"/>
      <c r="F41" s="136" t="s">
        <v>181</v>
      </c>
      <c r="G41" s="150"/>
      <c r="H41" s="151"/>
      <c r="I41" s="141" t="s">
        <v>172</v>
      </c>
      <c r="J41" s="139"/>
      <c r="K41" s="141" t="s">
        <v>173</v>
      </c>
      <c r="L41" s="142"/>
      <c r="M41" s="143"/>
      <c r="N41" s="138"/>
      <c r="O41" s="144"/>
      <c r="P41" s="134"/>
    </row>
    <row r="42">
      <c r="A42" s="34"/>
      <c r="B42" s="152" t="s">
        <v>182</v>
      </c>
      <c r="C42" s="153"/>
      <c r="D42" s="153"/>
      <c r="E42" s="154"/>
      <c r="F42" s="155" t="s">
        <v>171</v>
      </c>
      <c r="G42" s="156"/>
      <c r="H42" s="157"/>
      <c r="I42" s="158" t="s">
        <v>172</v>
      </c>
      <c r="J42" s="156"/>
      <c r="K42" s="158" t="s">
        <v>173</v>
      </c>
      <c r="L42" s="159"/>
      <c r="M42" s="160"/>
      <c r="N42" s="155"/>
      <c r="O42" s="161"/>
      <c r="P42" s="134"/>
    </row>
    <row r="43">
      <c r="A43" s="34"/>
      <c r="B43" s="162"/>
      <c r="C43" s="163"/>
      <c r="D43" s="163"/>
      <c r="E43" s="164"/>
      <c r="F43" s="155" t="s">
        <v>175</v>
      </c>
      <c r="G43" s="165"/>
      <c r="H43" s="166"/>
      <c r="I43" s="158" t="s">
        <v>172</v>
      </c>
      <c r="J43" s="156"/>
      <c r="K43" s="158" t="s">
        <v>173</v>
      </c>
      <c r="L43" s="159"/>
      <c r="M43" s="160"/>
      <c r="N43" s="155"/>
      <c r="O43" s="161"/>
      <c r="P43" s="134"/>
    </row>
    <row r="44">
      <c r="A44" s="34"/>
      <c r="B44" s="162"/>
      <c r="C44" s="163"/>
      <c r="D44" s="163"/>
      <c r="E44" s="164"/>
      <c r="F44" s="153" t="s">
        <v>177</v>
      </c>
      <c r="G44" s="167"/>
      <c r="H44" s="168"/>
      <c r="I44" s="158" t="s">
        <v>172</v>
      </c>
      <c r="J44" s="156"/>
      <c r="K44" s="158" t="s">
        <v>173</v>
      </c>
      <c r="L44" s="159"/>
      <c r="M44" s="169"/>
      <c r="N44" s="155"/>
      <c r="O44" s="161"/>
      <c r="P44" s="134"/>
    </row>
    <row r="45">
      <c r="A45" s="34"/>
      <c r="B45" s="162"/>
      <c r="C45" s="163"/>
      <c r="D45" s="163"/>
      <c r="E45" s="164"/>
      <c r="F45" s="153" t="s">
        <v>178</v>
      </c>
      <c r="G45" s="167"/>
      <c r="H45" s="168"/>
      <c r="I45" s="158" t="s">
        <v>172</v>
      </c>
      <c r="J45" s="156"/>
      <c r="K45" s="158" t="s">
        <v>173</v>
      </c>
      <c r="L45" s="159"/>
      <c r="M45" s="169"/>
      <c r="N45" s="155"/>
      <c r="O45" s="161"/>
      <c r="P45" s="134"/>
    </row>
    <row r="46">
      <c r="A46" s="34"/>
      <c r="B46" s="162"/>
      <c r="C46" s="163"/>
      <c r="D46" s="163"/>
      <c r="E46" s="164"/>
      <c r="F46" s="153" t="s">
        <v>183</v>
      </c>
      <c r="G46" s="167"/>
      <c r="H46" s="168"/>
      <c r="I46" s="158" t="s">
        <v>172</v>
      </c>
      <c r="J46" s="156"/>
      <c r="K46" s="158" t="s">
        <v>173</v>
      </c>
      <c r="L46" s="159"/>
      <c r="M46" s="169"/>
      <c r="N46" s="155"/>
      <c r="O46" s="161"/>
      <c r="P46" s="134"/>
    </row>
    <row r="47">
      <c r="A47" s="34"/>
      <c r="B47" s="162"/>
      <c r="C47" s="163"/>
      <c r="D47" s="163"/>
      <c r="E47" s="163"/>
      <c r="F47" s="158" t="s">
        <v>184</v>
      </c>
      <c r="G47" s="156"/>
      <c r="H47" s="157"/>
      <c r="I47" s="158" t="s">
        <v>172</v>
      </c>
      <c r="J47" s="156"/>
      <c r="K47" s="158" t="s">
        <v>173</v>
      </c>
      <c r="L47" s="159"/>
      <c r="M47" s="160"/>
      <c r="N47" s="153"/>
      <c r="O47" s="154"/>
      <c r="P47" s="134"/>
    </row>
    <row r="48">
      <c r="A48" s="34"/>
      <c r="B48" s="135" t="s">
        <v>185</v>
      </c>
      <c r="C48" s="136"/>
      <c r="D48" s="136"/>
      <c r="E48" s="137"/>
      <c r="F48" s="170" t="s">
        <v>186</v>
      </c>
      <c r="G48" s="171"/>
      <c r="H48" s="172"/>
      <c r="I48" s="141" t="s">
        <v>187</v>
      </c>
      <c r="J48" s="139"/>
      <c r="K48" s="141" t="s">
        <v>173</v>
      </c>
      <c r="L48" s="142"/>
      <c r="M48" s="173"/>
      <c r="N48" s="174" t="s">
        <v>188</v>
      </c>
      <c r="O48" s="144"/>
      <c r="P48" s="134"/>
    </row>
    <row r="49">
      <c r="A49" s="34"/>
      <c r="B49" s="146"/>
      <c r="C49" s="96"/>
      <c r="D49" s="96"/>
      <c r="E49" s="147"/>
      <c r="F49" s="138" t="s">
        <v>189</v>
      </c>
      <c r="G49" s="139"/>
      <c r="H49" s="140"/>
      <c r="I49" s="141" t="s">
        <v>187</v>
      </c>
      <c r="J49" s="139"/>
      <c r="K49" s="141" t="s">
        <v>173</v>
      </c>
      <c r="L49" s="142"/>
      <c r="M49" s="175"/>
      <c r="N49" s="174" t="s">
        <v>188</v>
      </c>
      <c r="O49" s="144"/>
      <c r="P49" s="134"/>
    </row>
    <row r="50">
      <c r="A50" s="34"/>
      <c r="B50" s="146"/>
      <c r="C50" s="96"/>
      <c r="D50" s="96"/>
      <c r="E50" s="147"/>
      <c r="F50" s="138" t="s">
        <v>190</v>
      </c>
      <c r="G50" s="139"/>
      <c r="H50" s="140"/>
      <c r="I50" s="176" t="s">
        <v>191</v>
      </c>
      <c r="J50" s="177"/>
      <c r="K50" s="141" t="s">
        <v>173</v>
      </c>
      <c r="L50" s="142"/>
      <c r="M50" s="175"/>
      <c r="N50" s="174" t="s">
        <v>188</v>
      </c>
      <c r="O50" s="144"/>
      <c r="P50" s="134"/>
    </row>
    <row r="51">
      <c r="A51" s="34"/>
      <c r="B51" s="146"/>
      <c r="C51" s="96"/>
      <c r="D51" s="96"/>
      <c r="E51" s="147"/>
      <c r="F51" s="138" t="s">
        <v>192</v>
      </c>
      <c r="G51" s="139"/>
      <c r="H51" s="140"/>
      <c r="I51" s="141" t="s">
        <v>193</v>
      </c>
      <c r="J51" s="139"/>
      <c r="K51" s="141" t="s">
        <v>173</v>
      </c>
      <c r="L51" s="142"/>
      <c r="M51" s="175"/>
      <c r="N51" s="174" t="s">
        <v>188</v>
      </c>
      <c r="O51" s="144"/>
      <c r="P51" s="134"/>
    </row>
    <row r="52">
      <c r="A52" s="34"/>
      <c r="B52" s="146"/>
      <c r="C52" s="96"/>
      <c r="D52" s="96"/>
      <c r="E52" s="147"/>
      <c r="F52" s="138" t="s">
        <v>194</v>
      </c>
      <c r="G52" s="139"/>
      <c r="H52" s="140"/>
      <c r="I52" s="141" t="s">
        <v>195</v>
      </c>
      <c r="J52" s="139"/>
      <c r="K52" s="141" t="s">
        <v>173</v>
      </c>
      <c r="L52" s="142"/>
      <c r="M52" s="175"/>
      <c r="N52" s="174" t="s">
        <v>188</v>
      </c>
      <c r="O52" s="144"/>
      <c r="P52" s="134"/>
    </row>
    <row r="53">
      <c r="A53" s="34"/>
      <c r="B53" s="146"/>
      <c r="C53" s="96"/>
      <c r="D53" s="96"/>
      <c r="E53" s="96"/>
      <c r="F53" s="162" t="s">
        <v>196</v>
      </c>
      <c r="G53" s="178"/>
      <c r="H53" s="178"/>
      <c r="I53" s="152" t="s">
        <v>125</v>
      </c>
      <c r="J53" s="179"/>
      <c r="K53" s="158" t="s">
        <v>173</v>
      </c>
      <c r="L53" s="159"/>
      <c r="M53" s="169"/>
      <c r="N53" s="155" t="s">
        <v>188</v>
      </c>
      <c r="O53" s="161"/>
      <c r="P53" s="58" t="s">
        <v>197</v>
      </c>
    </row>
    <row r="54">
      <c r="A54" s="34"/>
      <c r="B54" s="146"/>
      <c r="C54" s="96"/>
      <c r="D54" s="96"/>
      <c r="E54" s="96"/>
      <c r="F54" s="152" t="s">
        <v>198</v>
      </c>
      <c r="G54" s="156"/>
      <c r="H54" s="156"/>
      <c r="I54" s="158" t="s">
        <v>125</v>
      </c>
      <c r="J54" s="157"/>
      <c r="K54" s="158" t="s">
        <v>173</v>
      </c>
      <c r="L54" s="159"/>
      <c r="M54" s="169"/>
      <c r="N54" s="155" t="s">
        <v>188</v>
      </c>
      <c r="O54" s="161"/>
      <c r="P54" s="134"/>
    </row>
    <row r="55">
      <c r="A55" s="34"/>
      <c r="B55" s="146"/>
      <c r="C55" s="96"/>
      <c r="D55" s="96"/>
      <c r="E55" s="147"/>
      <c r="F55" s="138" t="s">
        <v>199</v>
      </c>
      <c r="G55" s="139"/>
      <c r="H55" s="140"/>
      <c r="I55" s="180" t="s">
        <v>200</v>
      </c>
      <c r="J55" s="181"/>
      <c r="K55" s="141" t="s">
        <v>173</v>
      </c>
      <c r="L55" s="142"/>
      <c r="M55" s="175"/>
      <c r="N55" s="174" t="s">
        <v>188</v>
      </c>
      <c r="O55" s="144"/>
      <c r="P55" s="134"/>
    </row>
    <row r="56">
      <c r="A56" s="34"/>
      <c r="B56" s="146"/>
      <c r="C56" s="96"/>
      <c r="D56" s="96"/>
      <c r="E56" s="147"/>
      <c r="F56" s="153" t="s">
        <v>201</v>
      </c>
      <c r="G56" s="182"/>
      <c r="H56" s="179"/>
      <c r="I56" s="155" t="s">
        <v>200</v>
      </c>
      <c r="J56" s="156"/>
      <c r="K56" s="158" t="s">
        <v>173</v>
      </c>
      <c r="L56" s="159"/>
      <c r="M56" s="169"/>
      <c r="N56" s="155" t="s">
        <v>188</v>
      </c>
      <c r="O56" s="161"/>
      <c r="P56" s="134"/>
      <c r="Q56" s="183"/>
      <c r="R56" s="104" t="s">
        <v>202</v>
      </c>
    </row>
    <row r="57">
      <c r="A57" s="34"/>
      <c r="B57" s="146"/>
      <c r="C57" s="96"/>
      <c r="D57" s="96"/>
      <c r="E57" s="147"/>
      <c r="F57" s="184" t="s">
        <v>203</v>
      </c>
      <c r="G57" s="185"/>
      <c r="H57" s="186"/>
      <c r="I57" s="187" t="s">
        <v>204</v>
      </c>
      <c r="J57" s="185"/>
      <c r="K57" s="187" t="s">
        <v>173</v>
      </c>
      <c r="L57" s="188"/>
      <c r="M57" s="189"/>
      <c r="N57" s="184"/>
      <c r="O57" s="190"/>
      <c r="P57" s="134"/>
    </row>
    <row r="58">
      <c r="A58" s="34"/>
      <c r="B58" s="146"/>
      <c r="C58" s="96"/>
      <c r="D58" s="96"/>
      <c r="E58" s="147"/>
      <c r="F58" s="184" t="s">
        <v>205</v>
      </c>
      <c r="G58" s="185"/>
      <c r="H58" s="186"/>
      <c r="I58" s="187" t="s">
        <v>204</v>
      </c>
      <c r="J58" s="185"/>
      <c r="K58" s="187" t="s">
        <v>173</v>
      </c>
      <c r="L58" s="188"/>
      <c r="M58" s="189"/>
      <c r="N58" s="184"/>
      <c r="O58" s="190"/>
      <c r="P58" s="134"/>
    </row>
    <row r="59">
      <c r="A59" s="34"/>
      <c r="B59" s="146"/>
      <c r="C59" s="96"/>
      <c r="D59" s="96"/>
      <c r="E59" s="147"/>
      <c r="F59" s="184" t="s">
        <v>206</v>
      </c>
      <c r="G59" s="185"/>
      <c r="H59" s="186"/>
      <c r="I59" s="187" t="s">
        <v>204</v>
      </c>
      <c r="J59" s="185"/>
      <c r="K59" s="187" t="s">
        <v>173</v>
      </c>
      <c r="L59" s="188"/>
      <c r="M59" s="189"/>
      <c r="N59" s="191"/>
      <c r="O59" s="192"/>
      <c r="P59" s="96" t="s">
        <v>207</v>
      </c>
    </row>
    <row r="60">
      <c r="A60" s="34"/>
      <c r="B60" s="146"/>
      <c r="C60" s="96"/>
      <c r="D60" s="96"/>
      <c r="E60" s="147"/>
      <c r="F60" s="184" t="s">
        <v>208</v>
      </c>
      <c r="G60" s="185"/>
      <c r="H60" s="186"/>
      <c r="I60" s="187" t="s">
        <v>204</v>
      </c>
      <c r="J60" s="185"/>
      <c r="K60" s="187" t="s">
        <v>173</v>
      </c>
      <c r="L60" s="188"/>
      <c r="M60" s="193"/>
      <c r="N60" s="194" t="s">
        <v>209</v>
      </c>
      <c r="O60" s="190"/>
      <c r="P60" s="134"/>
    </row>
    <row r="61">
      <c r="A61" s="34"/>
      <c r="B61" s="146"/>
      <c r="C61" s="96"/>
      <c r="D61" s="96"/>
      <c r="E61" s="147"/>
      <c r="F61" s="138" t="s">
        <v>210</v>
      </c>
      <c r="G61" s="139"/>
      <c r="H61" s="140"/>
      <c r="I61" s="141" t="s">
        <v>211</v>
      </c>
      <c r="J61" s="139"/>
      <c r="K61" s="141" t="s">
        <v>173</v>
      </c>
      <c r="L61" s="142"/>
      <c r="M61" s="143"/>
      <c r="N61" s="138" t="s">
        <v>212</v>
      </c>
      <c r="O61" s="144"/>
      <c r="P61" s="134"/>
    </row>
    <row r="62">
      <c r="A62" s="34"/>
      <c r="B62" s="146"/>
      <c r="C62" s="96"/>
      <c r="D62" s="96"/>
      <c r="E62" s="147"/>
      <c r="F62" s="138" t="s">
        <v>213</v>
      </c>
      <c r="G62" s="139"/>
      <c r="H62" s="140"/>
      <c r="I62" s="141" t="s">
        <v>214</v>
      </c>
      <c r="J62" s="139"/>
      <c r="K62" s="141" t="s">
        <v>173</v>
      </c>
      <c r="L62" s="142"/>
      <c r="M62" s="143"/>
      <c r="N62" s="138" t="s">
        <v>212</v>
      </c>
      <c r="O62" s="144"/>
      <c r="P62" s="134"/>
    </row>
    <row r="63">
      <c r="A63" s="34"/>
      <c r="B63" s="146"/>
      <c r="C63" s="96"/>
      <c r="D63" s="96"/>
      <c r="E63" s="147"/>
      <c r="F63" s="136" t="s">
        <v>215</v>
      </c>
      <c r="G63" s="177"/>
      <c r="H63" s="195"/>
      <c r="I63" s="141" t="s">
        <v>216</v>
      </c>
      <c r="J63" s="139"/>
      <c r="K63" s="141" t="s">
        <v>173</v>
      </c>
      <c r="L63" s="142"/>
      <c r="M63" s="143"/>
      <c r="N63" s="138" t="s">
        <v>212</v>
      </c>
      <c r="O63" s="137"/>
      <c r="P63" s="134"/>
    </row>
    <row r="64">
      <c r="A64" s="34"/>
      <c r="B64" s="146"/>
      <c r="C64" s="96"/>
      <c r="D64" s="96"/>
      <c r="E64" s="147"/>
      <c r="F64" s="136" t="s">
        <v>217</v>
      </c>
      <c r="G64" s="177"/>
      <c r="H64" s="195"/>
      <c r="I64" s="141" t="s">
        <v>218</v>
      </c>
      <c r="J64" s="139"/>
      <c r="K64" s="141" t="s">
        <v>173</v>
      </c>
      <c r="L64" s="142"/>
      <c r="M64" s="173"/>
      <c r="N64" s="174" t="s">
        <v>219</v>
      </c>
      <c r="O64" s="144"/>
      <c r="P64" s="134"/>
    </row>
    <row r="65">
      <c r="A65" s="34"/>
      <c r="B65" s="146"/>
      <c r="C65" s="96"/>
      <c r="D65" s="96"/>
      <c r="E65" s="147"/>
      <c r="F65" s="96"/>
      <c r="G65" s="145"/>
      <c r="H65" s="196"/>
      <c r="I65" s="141" t="s">
        <v>220</v>
      </c>
      <c r="J65" s="177"/>
      <c r="K65" s="141" t="s">
        <v>173</v>
      </c>
      <c r="L65" s="142"/>
      <c r="M65" s="175"/>
      <c r="N65" s="174" t="s">
        <v>219</v>
      </c>
      <c r="O65" s="144"/>
      <c r="P65" s="134"/>
    </row>
    <row r="66">
      <c r="A66" s="34"/>
      <c r="B66" s="146"/>
      <c r="C66" s="96"/>
      <c r="D66" s="96"/>
      <c r="E66" s="147"/>
      <c r="F66" s="138" t="s">
        <v>221</v>
      </c>
      <c r="G66" s="139"/>
      <c r="H66" s="140"/>
      <c r="I66" s="141" t="s">
        <v>42</v>
      </c>
      <c r="J66" s="139"/>
      <c r="K66" s="141" t="s">
        <v>173</v>
      </c>
      <c r="L66" s="142"/>
      <c r="M66" s="143"/>
      <c r="N66" s="138"/>
      <c r="O66" s="144"/>
      <c r="P66" s="134"/>
    </row>
    <row r="67">
      <c r="A67" s="34"/>
      <c r="B67" s="146"/>
      <c r="C67" s="96"/>
      <c r="D67" s="96"/>
      <c r="E67" s="147"/>
      <c r="F67" s="136" t="s">
        <v>222</v>
      </c>
      <c r="G67" s="177"/>
      <c r="H67" s="195"/>
      <c r="I67" s="141" t="s">
        <v>223</v>
      </c>
      <c r="J67" s="139"/>
      <c r="K67" s="141" t="s">
        <v>173</v>
      </c>
      <c r="L67" s="142"/>
      <c r="M67" s="143"/>
      <c r="N67" s="138"/>
      <c r="O67" s="144"/>
      <c r="P67" s="134"/>
    </row>
    <row r="68">
      <c r="A68" s="34"/>
      <c r="B68" s="135" t="s">
        <v>224</v>
      </c>
      <c r="C68" s="136"/>
      <c r="D68" s="136"/>
      <c r="E68" s="136"/>
      <c r="F68" s="135" t="s">
        <v>225</v>
      </c>
      <c r="G68" s="150"/>
      <c r="H68" s="151"/>
      <c r="I68" s="138" t="s">
        <v>226</v>
      </c>
      <c r="J68" s="195"/>
      <c r="K68" s="141" t="s">
        <v>227</v>
      </c>
      <c r="L68" s="142"/>
      <c r="M68" s="143"/>
      <c r="N68" s="138"/>
      <c r="O68" s="144"/>
      <c r="P68" s="134"/>
      <c r="R68" s="96"/>
    </row>
    <row r="69">
      <c r="A69" s="34"/>
      <c r="B69" s="146"/>
      <c r="C69" s="96"/>
      <c r="D69" s="96"/>
      <c r="E69" s="96"/>
      <c r="F69" s="146"/>
      <c r="G69" s="134"/>
      <c r="H69" s="197"/>
      <c r="I69" s="138" t="s">
        <v>228</v>
      </c>
      <c r="J69" s="140"/>
      <c r="K69" s="141" t="s">
        <v>229</v>
      </c>
      <c r="L69" s="142"/>
      <c r="M69" s="143"/>
      <c r="N69" s="138"/>
      <c r="O69" s="144"/>
      <c r="P69" s="134"/>
    </row>
    <row r="70">
      <c r="A70" s="34"/>
      <c r="B70" s="146"/>
      <c r="C70" s="96"/>
      <c r="D70" s="96"/>
      <c r="E70" s="96"/>
      <c r="F70" s="146"/>
      <c r="G70" s="134"/>
      <c r="H70" s="197"/>
      <c r="I70" s="138" t="s">
        <v>228</v>
      </c>
      <c r="J70" s="140"/>
      <c r="K70" s="141" t="s">
        <v>230</v>
      </c>
      <c r="L70" s="142"/>
      <c r="M70" s="143"/>
      <c r="N70" s="138"/>
      <c r="O70" s="144"/>
      <c r="P70" s="134"/>
    </row>
    <row r="71">
      <c r="A71" s="34"/>
      <c r="B71" s="146"/>
      <c r="C71" s="96"/>
      <c r="D71" s="96"/>
      <c r="E71" s="96"/>
      <c r="F71" s="180"/>
      <c r="G71" s="171"/>
      <c r="H71" s="172"/>
      <c r="I71" s="141" t="s">
        <v>231</v>
      </c>
      <c r="J71" s="195"/>
      <c r="K71" s="141" t="s">
        <v>227</v>
      </c>
      <c r="L71" s="142"/>
      <c r="M71" s="143"/>
      <c r="N71" s="138" t="s">
        <v>232</v>
      </c>
      <c r="O71" s="144"/>
      <c r="P71" s="134"/>
      <c r="R71" s="96"/>
    </row>
    <row r="72">
      <c r="A72" s="34"/>
      <c r="B72" s="146"/>
      <c r="C72" s="96"/>
      <c r="D72" s="96"/>
      <c r="E72" s="147"/>
      <c r="F72" s="96" t="s">
        <v>233</v>
      </c>
      <c r="G72" s="134"/>
      <c r="H72" s="134"/>
      <c r="I72" s="141" t="s">
        <v>226</v>
      </c>
      <c r="J72" s="195"/>
      <c r="K72" s="141" t="s">
        <v>227</v>
      </c>
      <c r="L72" s="142"/>
      <c r="M72" s="143"/>
      <c r="N72" s="138"/>
      <c r="O72" s="144"/>
      <c r="P72" s="134"/>
    </row>
    <row r="73">
      <c r="A73" s="34"/>
      <c r="B73" s="146"/>
      <c r="C73" s="96"/>
      <c r="D73" s="96"/>
      <c r="E73" s="147"/>
      <c r="F73" s="96"/>
      <c r="G73" s="134"/>
      <c r="H73" s="134"/>
      <c r="I73" s="141" t="s">
        <v>228</v>
      </c>
      <c r="J73" s="140"/>
      <c r="K73" s="141" t="s">
        <v>229</v>
      </c>
      <c r="L73" s="142"/>
      <c r="M73" s="143"/>
      <c r="N73" s="138"/>
      <c r="O73" s="144"/>
      <c r="P73" s="134"/>
    </row>
    <row r="74">
      <c r="A74" s="34"/>
      <c r="B74" s="146"/>
      <c r="C74" s="96"/>
      <c r="D74" s="96"/>
      <c r="E74" s="147"/>
      <c r="F74" s="96"/>
      <c r="G74" s="134"/>
      <c r="H74" s="197"/>
      <c r="I74" s="141" t="s">
        <v>228</v>
      </c>
      <c r="J74" s="140"/>
      <c r="K74" s="141" t="s">
        <v>230</v>
      </c>
      <c r="L74" s="142"/>
      <c r="M74" s="143"/>
      <c r="N74" s="138"/>
      <c r="O74" s="144"/>
      <c r="P74" s="134"/>
      <c r="R74" s="96"/>
    </row>
    <row r="75">
      <c r="A75" s="34"/>
      <c r="B75" s="146"/>
      <c r="C75" s="96"/>
      <c r="D75" s="96"/>
      <c r="E75" s="147"/>
      <c r="F75" s="96"/>
      <c r="G75" s="134"/>
      <c r="H75" s="197"/>
      <c r="I75" s="141" t="s">
        <v>231</v>
      </c>
      <c r="J75" s="195"/>
      <c r="K75" s="141" t="s">
        <v>227</v>
      </c>
      <c r="L75" s="142"/>
      <c r="M75" s="143"/>
      <c r="N75" s="138" t="s">
        <v>232</v>
      </c>
      <c r="O75" s="144"/>
      <c r="P75" s="134"/>
      <c r="R75" s="96"/>
    </row>
    <row r="76">
      <c r="A76" s="34"/>
      <c r="B76" s="146"/>
      <c r="C76" s="96"/>
      <c r="D76" s="96"/>
      <c r="E76" s="147"/>
      <c r="F76" s="136" t="s">
        <v>234</v>
      </c>
      <c r="G76" s="150"/>
      <c r="H76" s="151"/>
      <c r="I76" s="141" t="s">
        <v>226</v>
      </c>
      <c r="J76" s="195"/>
      <c r="K76" s="141" t="s">
        <v>227</v>
      </c>
      <c r="L76" s="142"/>
      <c r="M76" s="143"/>
      <c r="N76" s="138"/>
      <c r="O76" s="144"/>
      <c r="P76" s="134"/>
      <c r="R76" s="96"/>
    </row>
    <row r="77">
      <c r="A77" s="34"/>
      <c r="B77" s="146"/>
      <c r="C77" s="96"/>
      <c r="D77" s="96"/>
      <c r="E77" s="147"/>
      <c r="F77" s="96"/>
      <c r="G77" s="134"/>
      <c r="H77" s="197"/>
      <c r="I77" s="138" t="s">
        <v>228</v>
      </c>
      <c r="J77" s="140"/>
      <c r="K77" s="141" t="s">
        <v>229</v>
      </c>
      <c r="L77" s="142"/>
      <c r="M77" s="143"/>
      <c r="N77" s="138"/>
      <c r="O77" s="144"/>
      <c r="P77" s="134"/>
      <c r="R77" s="96"/>
    </row>
    <row r="78">
      <c r="A78" s="34"/>
      <c r="B78" s="146"/>
      <c r="C78" s="96"/>
      <c r="D78" s="96"/>
      <c r="E78" s="147"/>
      <c r="F78" s="96"/>
      <c r="G78" s="134"/>
      <c r="H78" s="197"/>
      <c r="I78" s="138" t="s">
        <v>228</v>
      </c>
      <c r="J78" s="140"/>
      <c r="K78" s="141" t="s">
        <v>230</v>
      </c>
      <c r="L78" s="142"/>
      <c r="M78" s="143"/>
      <c r="N78" s="138"/>
      <c r="O78" s="144"/>
      <c r="P78" s="134"/>
      <c r="R78" s="96"/>
    </row>
    <row r="79">
      <c r="A79" s="34"/>
      <c r="B79" s="146"/>
      <c r="C79" s="96"/>
      <c r="D79" s="96"/>
      <c r="E79" s="147"/>
      <c r="F79" s="96"/>
      <c r="G79" s="134"/>
      <c r="H79" s="197"/>
      <c r="I79" s="138" t="s">
        <v>231</v>
      </c>
      <c r="J79" s="195"/>
      <c r="K79" s="141" t="s">
        <v>227</v>
      </c>
      <c r="L79" s="142"/>
      <c r="M79" s="143"/>
      <c r="N79" s="138" t="s">
        <v>232</v>
      </c>
      <c r="O79" s="144"/>
      <c r="P79" s="134"/>
      <c r="R79" s="96"/>
    </row>
    <row r="80">
      <c r="A80" s="34"/>
      <c r="B80" s="146"/>
      <c r="C80" s="96"/>
      <c r="D80" s="96"/>
      <c r="E80" s="147"/>
      <c r="F80" s="136" t="s">
        <v>235</v>
      </c>
      <c r="G80" s="150"/>
      <c r="H80" s="151"/>
      <c r="I80" s="138" t="s">
        <v>226</v>
      </c>
      <c r="J80" s="195"/>
      <c r="K80" s="141" t="s">
        <v>227</v>
      </c>
      <c r="L80" s="142"/>
      <c r="M80" s="143"/>
      <c r="N80" s="138"/>
      <c r="O80" s="144"/>
      <c r="P80" s="134"/>
      <c r="R80" s="96"/>
    </row>
    <row r="81">
      <c r="A81" s="34"/>
      <c r="B81" s="146"/>
      <c r="C81" s="96"/>
      <c r="D81" s="96"/>
      <c r="E81" s="147"/>
      <c r="F81" s="96"/>
      <c r="G81" s="134"/>
      <c r="H81" s="197"/>
      <c r="I81" s="138" t="s">
        <v>228</v>
      </c>
      <c r="J81" s="140"/>
      <c r="K81" s="141" t="s">
        <v>229</v>
      </c>
      <c r="L81" s="142"/>
      <c r="M81" s="143"/>
      <c r="N81" s="138"/>
      <c r="O81" s="144"/>
      <c r="P81" s="134"/>
      <c r="R81" s="96"/>
    </row>
    <row r="82">
      <c r="A82" s="34"/>
      <c r="B82" s="146"/>
      <c r="C82" s="96"/>
      <c r="D82" s="96"/>
      <c r="E82" s="147"/>
      <c r="F82" s="96"/>
      <c r="G82" s="134"/>
      <c r="H82" s="197"/>
      <c r="I82" s="138" t="s">
        <v>228</v>
      </c>
      <c r="J82" s="140"/>
      <c r="K82" s="141" t="s">
        <v>230</v>
      </c>
      <c r="L82" s="142"/>
      <c r="M82" s="143"/>
      <c r="N82" s="138"/>
      <c r="O82" s="144"/>
      <c r="P82" s="134"/>
      <c r="R82" s="96"/>
    </row>
    <row r="83">
      <c r="A83" s="34"/>
      <c r="B83" s="146"/>
      <c r="C83" s="96"/>
      <c r="D83" s="96"/>
      <c r="E83" s="147"/>
      <c r="F83" s="96"/>
      <c r="G83" s="134"/>
      <c r="H83" s="197"/>
      <c r="I83" s="138" t="s">
        <v>231</v>
      </c>
      <c r="J83" s="195"/>
      <c r="K83" s="141" t="s">
        <v>227</v>
      </c>
      <c r="L83" s="142"/>
      <c r="M83" s="143"/>
      <c r="N83" s="138" t="s">
        <v>232</v>
      </c>
      <c r="O83" s="144"/>
      <c r="P83" s="134"/>
      <c r="R83" s="96"/>
    </row>
    <row r="84">
      <c r="A84" s="34"/>
      <c r="B84" s="146"/>
      <c r="C84" s="96"/>
      <c r="D84" s="96"/>
      <c r="E84" s="147"/>
      <c r="F84" s="136" t="s">
        <v>236</v>
      </c>
      <c r="G84" s="150"/>
      <c r="H84" s="151"/>
      <c r="I84" s="138" t="s">
        <v>226</v>
      </c>
      <c r="J84" s="195"/>
      <c r="K84" s="141" t="s">
        <v>227</v>
      </c>
      <c r="L84" s="142"/>
      <c r="M84" s="143"/>
      <c r="N84" s="138"/>
      <c r="O84" s="144"/>
      <c r="P84" s="134"/>
      <c r="R84" s="96"/>
    </row>
    <row r="85">
      <c r="A85" s="34"/>
      <c r="B85" s="146"/>
      <c r="C85" s="96"/>
      <c r="D85" s="96"/>
      <c r="E85" s="147"/>
      <c r="F85" s="96"/>
      <c r="G85" s="134"/>
      <c r="H85" s="197"/>
      <c r="I85" s="138" t="s">
        <v>228</v>
      </c>
      <c r="J85" s="140"/>
      <c r="K85" s="141" t="s">
        <v>229</v>
      </c>
      <c r="L85" s="142"/>
      <c r="M85" s="143"/>
      <c r="N85" s="138"/>
      <c r="O85" s="144"/>
      <c r="P85" s="134"/>
      <c r="R85" s="96"/>
    </row>
    <row r="86">
      <c r="A86" s="34"/>
      <c r="B86" s="146"/>
      <c r="C86" s="96"/>
      <c r="D86" s="96"/>
      <c r="E86" s="147"/>
      <c r="F86" s="96"/>
      <c r="G86" s="134"/>
      <c r="H86" s="197"/>
      <c r="I86" s="138" t="s">
        <v>228</v>
      </c>
      <c r="J86" s="140"/>
      <c r="K86" s="141" t="s">
        <v>230</v>
      </c>
      <c r="L86" s="142"/>
      <c r="M86" s="143"/>
      <c r="N86" s="138"/>
      <c r="O86" s="144"/>
      <c r="P86" s="134"/>
      <c r="R86" s="96"/>
    </row>
    <row r="87">
      <c r="A87" s="34"/>
      <c r="B87" s="146"/>
      <c r="C87" s="96"/>
      <c r="D87" s="96"/>
      <c r="E87" s="147"/>
      <c r="F87" s="96"/>
      <c r="G87" s="134"/>
      <c r="H87" s="197"/>
      <c r="I87" s="138" t="s">
        <v>231</v>
      </c>
      <c r="J87" s="195"/>
      <c r="K87" s="141" t="s">
        <v>227</v>
      </c>
      <c r="L87" s="142"/>
      <c r="M87" s="143"/>
      <c r="N87" s="138" t="s">
        <v>232</v>
      </c>
      <c r="O87" s="144"/>
      <c r="P87" s="134"/>
      <c r="R87" s="96"/>
    </row>
    <row r="88">
      <c r="A88" s="34"/>
      <c r="B88" s="146"/>
      <c r="C88" s="96"/>
      <c r="D88" s="96"/>
      <c r="E88" s="147"/>
      <c r="F88" s="136" t="s">
        <v>237</v>
      </c>
      <c r="G88" s="150"/>
      <c r="H88" s="151"/>
      <c r="I88" s="138" t="s">
        <v>226</v>
      </c>
      <c r="J88" s="195"/>
      <c r="K88" s="141" t="s">
        <v>227</v>
      </c>
      <c r="L88" s="142"/>
      <c r="M88" s="143"/>
      <c r="N88" s="138"/>
      <c r="O88" s="144"/>
      <c r="P88" s="134"/>
      <c r="R88" s="96"/>
    </row>
    <row r="89">
      <c r="A89" s="34"/>
      <c r="B89" s="146"/>
      <c r="C89" s="96"/>
      <c r="D89" s="96"/>
      <c r="E89" s="147"/>
      <c r="F89" s="96"/>
      <c r="G89" s="134"/>
      <c r="H89" s="197"/>
      <c r="I89" s="138" t="s">
        <v>228</v>
      </c>
      <c r="J89" s="140"/>
      <c r="K89" s="141" t="s">
        <v>229</v>
      </c>
      <c r="L89" s="142"/>
      <c r="M89" s="143"/>
      <c r="N89" s="138"/>
      <c r="O89" s="144"/>
      <c r="P89" s="134"/>
      <c r="R89" s="96"/>
    </row>
    <row r="90">
      <c r="A90" s="34"/>
      <c r="B90" s="146"/>
      <c r="C90" s="96"/>
      <c r="D90" s="96"/>
      <c r="E90" s="147"/>
      <c r="F90" s="96"/>
      <c r="G90" s="134"/>
      <c r="H90" s="197"/>
      <c r="I90" s="138" t="s">
        <v>228</v>
      </c>
      <c r="J90" s="140"/>
      <c r="K90" s="141" t="s">
        <v>230</v>
      </c>
      <c r="L90" s="142"/>
      <c r="M90" s="143"/>
      <c r="N90" s="138"/>
      <c r="O90" s="144"/>
      <c r="P90" s="134"/>
      <c r="R90" s="96"/>
    </row>
    <row r="91">
      <c r="A91" s="34"/>
      <c r="B91" s="180"/>
      <c r="C91" s="170"/>
      <c r="D91" s="170"/>
      <c r="E91" s="198"/>
      <c r="F91" s="170"/>
      <c r="G91" s="171"/>
      <c r="H91" s="172"/>
      <c r="I91" s="138" t="s">
        <v>231</v>
      </c>
      <c r="J91" s="195"/>
      <c r="K91" s="141" t="s">
        <v>227</v>
      </c>
      <c r="L91" s="142"/>
      <c r="M91" s="143"/>
      <c r="N91" s="138" t="s">
        <v>232</v>
      </c>
      <c r="O91" s="144"/>
      <c r="P91" s="134"/>
      <c r="R91" s="96"/>
    </row>
    <row r="92">
      <c r="A92" s="34"/>
      <c r="B92" s="34"/>
      <c r="C92" s="34"/>
      <c r="D92" s="34"/>
      <c r="E92" s="134"/>
      <c r="F92" s="134"/>
      <c r="G92" s="134"/>
      <c r="H92" s="134"/>
      <c r="I92" s="150"/>
      <c r="J92" s="150"/>
      <c r="K92" s="150"/>
      <c r="L92" s="177"/>
      <c r="M92" s="145"/>
      <c r="N92" s="134"/>
      <c r="R92" s="96"/>
    </row>
    <row r="93">
      <c r="A93" s="34"/>
      <c r="B93" s="83"/>
      <c r="C93" s="125"/>
      <c r="D93" s="34"/>
      <c r="E93" s="134"/>
      <c r="F93" s="134"/>
      <c r="G93" s="134"/>
      <c r="H93" s="134"/>
      <c r="I93" s="134"/>
      <c r="J93" s="134"/>
      <c r="K93" s="134"/>
      <c r="L93" s="145"/>
      <c r="M93" s="145"/>
      <c r="N93" s="145"/>
      <c r="O93" s="134"/>
      <c r="R93" s="96"/>
    </row>
    <row r="94">
      <c r="A94" s="34"/>
      <c r="B94" s="96"/>
      <c r="C94" s="34"/>
      <c r="D94" s="34"/>
      <c r="R94" s="96"/>
    </row>
    <row r="95">
      <c r="A95" s="34"/>
      <c r="B95" s="96"/>
      <c r="C95" s="34"/>
      <c r="D95" s="34"/>
      <c r="L95" s="96"/>
      <c r="R95" s="96"/>
    </row>
    <row r="96">
      <c r="A96" s="34"/>
      <c r="B96" s="96"/>
      <c r="C96" s="34"/>
      <c r="D96" s="34"/>
      <c r="L96" s="96"/>
      <c r="R96" s="96"/>
    </row>
    <row r="97">
      <c r="A97" s="34"/>
      <c r="B97" s="34"/>
      <c r="C97" s="34"/>
      <c r="D97" s="34"/>
      <c r="L97" s="96"/>
      <c r="R97" s="96"/>
    </row>
    <row r="98">
      <c r="A98" s="34"/>
      <c r="B98" s="34"/>
      <c r="C98" s="34"/>
      <c r="D98" s="34"/>
      <c r="H98" s="96"/>
      <c r="R98" s="96"/>
    </row>
    <row r="99">
      <c r="A99" s="34"/>
      <c r="B99" s="34"/>
      <c r="C99" s="34"/>
      <c r="D99" s="34"/>
      <c r="H99" s="96"/>
    </row>
    <row r="100">
      <c r="A100" s="34"/>
      <c r="B100" s="34"/>
      <c r="C100" s="34"/>
      <c r="D100" s="34"/>
      <c r="H100" s="96"/>
    </row>
    <row r="101">
      <c r="A101" s="34"/>
      <c r="H101" s="96"/>
    </row>
    <row r="102">
      <c r="A102" s="34"/>
      <c r="H102" s="96"/>
    </row>
    <row r="103">
      <c r="A103" s="34"/>
      <c r="H103" s="96"/>
    </row>
  </sheetData>
  <dataValidations>
    <dataValidation type="list" allowBlank="1" showErrorMessage="1" sqref="F11:F12 O11:O15 C11:C16 F15:F18 I11:I21 L11:L25">
      <formula1>"〇,-"</formula1>
    </dataValidation>
  </dataValidations>
  <hyperlinks>
    <hyperlink r:id="rId4" ref="I4"/>
    <hyperlink r:id="rId5" ref="I6"/>
    <hyperlink r:id="rId6" location="gid=397942537" ref="L10"/>
    <hyperlink r:id="rId7" ref="R56"/>
  </hyperlinks>
  <drawing r:id="rId8"/>
  <legacy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7.63"/>
    <col customWidth="1" min="3" max="3" width="25.5"/>
    <col customWidth="1" min="4" max="4" width="27.25"/>
    <col customWidth="1" min="5" max="5" width="15.63"/>
    <col customWidth="1" min="6" max="6" width="22.38"/>
    <col customWidth="1" min="7" max="7" width="39.38"/>
    <col customWidth="1" min="8" max="8" width="26.75"/>
    <col customWidth="1" min="9" max="9" width="15.5"/>
    <col customWidth="1" min="10" max="10" width="6.38"/>
    <col customWidth="1" min="11" max="16" width="11.13"/>
    <col customWidth="1" min="17" max="17" width="8.75"/>
    <col customWidth="1" min="18" max="19" width="10.88"/>
    <col customWidth="1" min="20" max="22" width="14.0"/>
    <col customWidth="1" min="23" max="31" width="7.5"/>
  </cols>
  <sheetData>
    <row r="1">
      <c r="A1" s="199"/>
      <c r="B1" s="199"/>
      <c r="C1" s="200"/>
      <c r="D1" s="200"/>
      <c r="E1" s="200"/>
      <c r="F1" s="200"/>
      <c r="G1" s="200"/>
      <c r="H1" s="200"/>
      <c r="I1" s="200"/>
      <c r="J1" s="200"/>
      <c r="K1" s="201"/>
      <c r="L1" s="201"/>
      <c r="M1" s="202"/>
      <c r="N1" s="203"/>
      <c r="O1" s="202"/>
      <c r="P1" s="202"/>
      <c r="Q1" s="204"/>
      <c r="R1" s="204"/>
      <c r="S1" s="204"/>
      <c r="T1" s="199"/>
      <c r="U1" s="199"/>
      <c r="V1" s="199"/>
      <c r="W1" s="199"/>
      <c r="X1" s="199"/>
      <c r="Y1" s="199"/>
      <c r="Z1" s="199"/>
      <c r="AA1" s="199"/>
      <c r="AB1" s="199"/>
      <c r="AC1" s="205"/>
      <c r="AD1" s="205"/>
      <c r="AE1" s="205"/>
    </row>
    <row r="2">
      <c r="A2" s="199"/>
      <c r="B2" s="199"/>
      <c r="C2" s="200"/>
      <c r="D2" s="200"/>
      <c r="E2" s="200"/>
      <c r="F2" s="200"/>
      <c r="G2" s="200"/>
      <c r="H2" s="200"/>
      <c r="I2" s="200"/>
      <c r="J2" s="200"/>
      <c r="K2" s="206" t="s">
        <v>238</v>
      </c>
      <c r="L2" s="207" t="s">
        <v>239</v>
      </c>
      <c r="M2" s="208" t="s">
        <v>240</v>
      </c>
      <c r="N2" s="209" t="s">
        <v>241</v>
      </c>
      <c r="O2" s="209" t="s">
        <v>242</v>
      </c>
      <c r="P2" s="209" t="s">
        <v>243</v>
      </c>
      <c r="Q2" s="204"/>
      <c r="R2" s="204"/>
      <c r="S2" s="204"/>
      <c r="T2" s="199"/>
      <c r="U2" s="199"/>
      <c r="V2" s="199"/>
      <c r="W2" s="199"/>
      <c r="X2" s="199"/>
      <c r="Y2" s="199"/>
      <c r="Z2" s="199"/>
      <c r="AA2" s="199"/>
      <c r="AB2" s="199"/>
      <c r="AC2" s="205"/>
      <c r="AD2" s="205"/>
      <c r="AE2" s="205"/>
    </row>
    <row r="3">
      <c r="A3" s="199"/>
      <c r="B3" s="210" t="s">
        <v>244</v>
      </c>
      <c r="C3" s="211" t="s">
        <v>165</v>
      </c>
      <c r="D3" s="211" t="s">
        <v>166</v>
      </c>
      <c r="E3" s="211" t="s">
        <v>167</v>
      </c>
      <c r="F3" s="211" t="s">
        <v>168</v>
      </c>
      <c r="G3" s="212" t="s">
        <v>245</v>
      </c>
      <c r="H3" s="213" t="s">
        <v>246</v>
      </c>
      <c r="I3" s="214" t="s">
        <v>247</v>
      </c>
      <c r="J3" s="215" t="s">
        <v>248</v>
      </c>
      <c r="K3" s="216" t="s">
        <v>112</v>
      </c>
      <c r="L3" s="217" t="s">
        <v>112</v>
      </c>
      <c r="M3" s="207" t="s">
        <v>112</v>
      </c>
      <c r="N3" s="216" t="s">
        <v>112</v>
      </c>
      <c r="O3" s="218" t="s">
        <v>112</v>
      </c>
      <c r="P3" s="218" t="s">
        <v>112</v>
      </c>
      <c r="Q3" s="219" t="s">
        <v>3</v>
      </c>
      <c r="R3" s="220" t="s">
        <v>249</v>
      </c>
      <c r="S3" s="221" t="s">
        <v>250</v>
      </c>
      <c r="T3" s="199"/>
      <c r="U3" s="199"/>
      <c r="V3" s="199"/>
      <c r="W3" s="199"/>
      <c r="X3" s="199"/>
      <c r="Y3" s="199"/>
      <c r="Z3" s="199"/>
      <c r="AA3" s="199"/>
      <c r="AB3" s="199"/>
      <c r="AC3" s="205"/>
      <c r="AD3" s="205"/>
      <c r="AE3" s="205"/>
    </row>
    <row r="4">
      <c r="A4" s="199"/>
      <c r="B4" s="222">
        <f t="shared" ref="B4:B55" si="1">ROW()-ROW($B$3)</f>
        <v>1</v>
      </c>
      <c r="C4" s="223" t="s">
        <v>251</v>
      </c>
      <c r="D4" s="224" t="s">
        <v>171</v>
      </c>
      <c r="E4" s="225" t="s">
        <v>172</v>
      </c>
      <c r="F4" s="226" t="s">
        <v>173</v>
      </c>
      <c r="G4" s="227" t="s">
        <v>252</v>
      </c>
      <c r="H4" s="228" t="s">
        <v>253</v>
      </c>
      <c r="I4" s="228"/>
      <c r="J4" s="229"/>
      <c r="K4" s="78" t="s">
        <v>66</v>
      </c>
      <c r="L4" s="78" t="s">
        <v>66</v>
      </c>
      <c r="M4" s="78" t="s">
        <v>66</v>
      </c>
      <c r="N4" s="78" t="s">
        <v>66</v>
      </c>
      <c r="O4" s="78" t="s">
        <v>42</v>
      </c>
      <c r="P4" s="78" t="s">
        <v>42</v>
      </c>
      <c r="Q4" s="230" t="s">
        <v>254</v>
      </c>
      <c r="R4" s="230"/>
      <c r="S4" s="230"/>
      <c r="T4" s="199"/>
      <c r="U4" s="199"/>
      <c r="V4" s="199"/>
      <c r="W4" s="199"/>
      <c r="X4" s="199"/>
      <c r="Y4" s="199"/>
      <c r="Z4" s="199"/>
      <c r="AA4" s="199"/>
      <c r="AB4" s="199"/>
      <c r="AC4" s="205"/>
      <c r="AD4" s="205"/>
      <c r="AE4" s="205"/>
    </row>
    <row r="5">
      <c r="A5" s="199"/>
      <c r="B5" s="222">
        <f t="shared" si="1"/>
        <v>2</v>
      </c>
      <c r="C5" s="231"/>
      <c r="D5" s="224" t="s">
        <v>175</v>
      </c>
      <c r="E5" s="232" t="s">
        <v>172</v>
      </c>
      <c r="F5" s="233" t="s">
        <v>173</v>
      </c>
      <c r="G5" s="227" t="s">
        <v>255</v>
      </c>
      <c r="H5" s="228" t="s">
        <v>253</v>
      </c>
      <c r="I5" s="228"/>
      <c r="J5" s="229"/>
      <c r="K5" s="78" t="s">
        <v>66</v>
      </c>
      <c r="L5" s="78" t="s">
        <v>66</v>
      </c>
      <c r="M5" s="78" t="s">
        <v>66</v>
      </c>
      <c r="N5" s="78" t="s">
        <v>66</v>
      </c>
      <c r="O5" s="78" t="s">
        <v>42</v>
      </c>
      <c r="P5" s="78" t="s">
        <v>42</v>
      </c>
      <c r="Q5" s="230" t="s">
        <v>254</v>
      </c>
      <c r="R5" s="234"/>
      <c r="S5" s="230"/>
      <c r="T5" s="199"/>
      <c r="U5" s="199"/>
      <c r="V5" s="199"/>
      <c r="W5" s="199"/>
      <c r="X5" s="199"/>
      <c r="Y5" s="199"/>
      <c r="Z5" s="199"/>
      <c r="AA5" s="199"/>
      <c r="AB5" s="199"/>
      <c r="AC5" s="205"/>
      <c r="AD5" s="205"/>
      <c r="AE5" s="205"/>
    </row>
    <row r="6">
      <c r="A6" s="199"/>
      <c r="B6" s="222">
        <f t="shared" si="1"/>
        <v>3</v>
      </c>
      <c r="C6" s="231"/>
      <c r="D6" s="224" t="s">
        <v>177</v>
      </c>
      <c r="E6" s="232" t="s">
        <v>172</v>
      </c>
      <c r="F6" s="233" t="s">
        <v>173</v>
      </c>
      <c r="G6" s="227" t="s">
        <v>256</v>
      </c>
      <c r="H6" s="228" t="s">
        <v>253</v>
      </c>
      <c r="I6" s="235"/>
      <c r="J6" s="229"/>
      <c r="K6" s="78" t="s">
        <v>66</v>
      </c>
      <c r="L6" s="78" t="s">
        <v>66</v>
      </c>
      <c r="M6" s="78" t="s">
        <v>66</v>
      </c>
      <c r="N6" s="78" t="s">
        <v>66</v>
      </c>
      <c r="O6" s="78" t="s">
        <v>42</v>
      </c>
      <c r="P6" s="78" t="s">
        <v>42</v>
      </c>
      <c r="Q6" s="230" t="s">
        <v>254</v>
      </c>
      <c r="R6" s="230"/>
      <c r="S6" s="234"/>
      <c r="T6" s="199"/>
      <c r="U6" s="199"/>
      <c r="V6" s="199"/>
      <c r="W6" s="199"/>
      <c r="X6" s="199"/>
      <c r="Y6" s="199"/>
      <c r="Z6" s="199"/>
      <c r="AA6" s="199"/>
      <c r="AB6" s="199"/>
      <c r="AC6" s="205"/>
      <c r="AD6" s="205"/>
      <c r="AE6" s="205"/>
    </row>
    <row r="7">
      <c r="A7" s="199"/>
      <c r="B7" s="222">
        <f t="shared" si="1"/>
        <v>4</v>
      </c>
      <c r="C7" s="231"/>
      <c r="D7" s="224" t="s">
        <v>178</v>
      </c>
      <c r="E7" s="232" t="s">
        <v>172</v>
      </c>
      <c r="F7" s="233" t="s">
        <v>173</v>
      </c>
      <c r="G7" s="227" t="s">
        <v>257</v>
      </c>
      <c r="H7" s="228" t="s">
        <v>253</v>
      </c>
      <c r="I7" s="235"/>
      <c r="J7" s="229"/>
      <c r="K7" s="78" t="s">
        <v>66</v>
      </c>
      <c r="L7" s="78" t="s">
        <v>66</v>
      </c>
      <c r="M7" s="78" t="s">
        <v>66</v>
      </c>
      <c r="N7" s="78" t="s">
        <v>66</v>
      </c>
      <c r="O7" s="78" t="s">
        <v>42</v>
      </c>
      <c r="P7" s="78" t="s">
        <v>42</v>
      </c>
      <c r="Q7" s="230" t="s">
        <v>254</v>
      </c>
      <c r="R7" s="234"/>
      <c r="S7" s="234"/>
      <c r="T7" s="199"/>
      <c r="U7" s="199"/>
      <c r="V7" s="199"/>
      <c r="W7" s="199"/>
      <c r="X7" s="199"/>
      <c r="Y7" s="199"/>
      <c r="Z7" s="199"/>
      <c r="AA7" s="199"/>
      <c r="AB7" s="199"/>
      <c r="AC7" s="205"/>
      <c r="AD7" s="205"/>
      <c r="AE7" s="205"/>
    </row>
    <row r="8">
      <c r="A8" s="199"/>
      <c r="B8" s="222">
        <f t="shared" si="1"/>
        <v>5</v>
      </c>
      <c r="C8" s="231"/>
      <c r="D8" s="224" t="s">
        <v>184</v>
      </c>
      <c r="E8" s="232" t="s">
        <v>172</v>
      </c>
      <c r="F8" s="233" t="s">
        <v>173</v>
      </c>
      <c r="G8" s="227" t="s">
        <v>258</v>
      </c>
      <c r="H8" s="228" t="s">
        <v>253</v>
      </c>
      <c r="I8" s="235"/>
      <c r="J8" s="229"/>
      <c r="K8" s="78" t="s">
        <v>66</v>
      </c>
      <c r="L8" s="78" t="s">
        <v>66</v>
      </c>
      <c r="M8" s="78" t="s">
        <v>66</v>
      </c>
      <c r="N8" s="78" t="s">
        <v>66</v>
      </c>
      <c r="O8" s="78" t="s">
        <v>42</v>
      </c>
      <c r="P8" s="78" t="s">
        <v>42</v>
      </c>
      <c r="Q8" s="230" t="s">
        <v>254</v>
      </c>
      <c r="R8" s="234"/>
      <c r="S8" s="230"/>
      <c r="T8" s="199"/>
      <c r="U8" s="199"/>
      <c r="V8" s="199"/>
      <c r="W8" s="199"/>
      <c r="X8" s="199"/>
      <c r="Y8" s="199"/>
      <c r="Z8" s="199"/>
      <c r="AA8" s="199"/>
      <c r="AB8" s="199"/>
      <c r="AC8" s="205"/>
      <c r="AD8" s="205"/>
      <c r="AE8" s="205"/>
    </row>
    <row r="9">
      <c r="A9" s="199"/>
      <c r="B9" s="222">
        <f t="shared" si="1"/>
        <v>6</v>
      </c>
      <c r="C9" s="231"/>
      <c r="D9" s="224" t="s">
        <v>183</v>
      </c>
      <c r="E9" s="232" t="s">
        <v>172</v>
      </c>
      <c r="F9" s="233" t="s">
        <v>173</v>
      </c>
      <c r="G9" s="227" t="s">
        <v>259</v>
      </c>
      <c r="H9" s="228" t="s">
        <v>253</v>
      </c>
      <c r="I9" s="228"/>
      <c r="J9" s="229"/>
      <c r="K9" s="78" t="s">
        <v>66</v>
      </c>
      <c r="L9" s="78" t="s">
        <v>66</v>
      </c>
      <c r="M9" s="78" t="s">
        <v>66</v>
      </c>
      <c r="N9" s="78" t="s">
        <v>66</v>
      </c>
      <c r="O9" s="78" t="s">
        <v>42</v>
      </c>
      <c r="P9" s="78" t="s">
        <v>42</v>
      </c>
      <c r="Q9" s="230" t="s">
        <v>254</v>
      </c>
      <c r="R9" s="230"/>
      <c r="S9" s="234"/>
      <c r="T9" s="199"/>
      <c r="U9" s="199"/>
      <c r="V9" s="199"/>
      <c r="W9" s="199"/>
      <c r="X9" s="199"/>
      <c r="Y9" s="199"/>
      <c r="Z9" s="199"/>
      <c r="AA9" s="199"/>
      <c r="AB9" s="199"/>
      <c r="AC9" s="205"/>
      <c r="AD9" s="205"/>
      <c r="AE9" s="205"/>
    </row>
    <row r="10">
      <c r="A10" s="199"/>
      <c r="B10" s="222">
        <f t="shared" si="1"/>
        <v>7</v>
      </c>
      <c r="C10" s="226" t="s">
        <v>260</v>
      </c>
      <c r="D10" s="225" t="s">
        <v>171</v>
      </c>
      <c r="E10" s="225" t="s">
        <v>172</v>
      </c>
      <c r="F10" s="226" t="s">
        <v>173</v>
      </c>
      <c r="G10" s="236" t="s">
        <v>252</v>
      </c>
      <c r="H10" s="228" t="s">
        <v>253</v>
      </c>
      <c r="I10" s="235"/>
      <c r="J10" s="229"/>
      <c r="K10" s="78" t="s">
        <v>66</v>
      </c>
      <c r="L10" s="78" t="s">
        <v>42</v>
      </c>
      <c r="M10" s="78" t="s">
        <v>42</v>
      </c>
      <c r="N10" s="78" t="s">
        <v>42</v>
      </c>
      <c r="O10" s="78" t="s">
        <v>42</v>
      </c>
      <c r="P10" s="78" t="s">
        <v>42</v>
      </c>
      <c r="Q10" s="230" t="s">
        <v>254</v>
      </c>
      <c r="R10" s="234"/>
      <c r="S10" s="230"/>
      <c r="T10" s="199"/>
      <c r="U10" s="199"/>
      <c r="V10" s="199"/>
      <c r="W10" s="199"/>
      <c r="X10" s="199"/>
      <c r="Y10" s="199"/>
      <c r="Z10" s="199"/>
      <c r="AA10" s="199"/>
      <c r="AB10" s="199"/>
      <c r="AC10" s="205"/>
      <c r="AD10" s="205"/>
      <c r="AE10" s="205"/>
    </row>
    <row r="11">
      <c r="A11" s="199"/>
      <c r="B11" s="222">
        <f t="shared" si="1"/>
        <v>8</v>
      </c>
      <c r="C11" s="231"/>
      <c r="D11" s="225" t="s">
        <v>175</v>
      </c>
      <c r="E11" s="232" t="s">
        <v>172</v>
      </c>
      <c r="F11" s="233" t="s">
        <v>173</v>
      </c>
      <c r="G11" s="236" t="s">
        <v>261</v>
      </c>
      <c r="H11" s="228" t="s">
        <v>253</v>
      </c>
      <c r="I11" s="235"/>
      <c r="J11" s="229"/>
      <c r="K11" s="78" t="s">
        <v>66</v>
      </c>
      <c r="L11" s="78" t="s">
        <v>42</v>
      </c>
      <c r="M11" s="78" t="s">
        <v>42</v>
      </c>
      <c r="N11" s="78" t="s">
        <v>42</v>
      </c>
      <c r="O11" s="78" t="s">
        <v>42</v>
      </c>
      <c r="P11" s="78" t="s">
        <v>42</v>
      </c>
      <c r="Q11" s="230" t="s">
        <v>254</v>
      </c>
      <c r="R11" s="234"/>
      <c r="S11" s="230"/>
      <c r="T11" s="199"/>
      <c r="U11" s="199"/>
      <c r="V11" s="199"/>
      <c r="W11" s="199"/>
      <c r="X11" s="199"/>
      <c r="Y11" s="199"/>
      <c r="Z11" s="199"/>
      <c r="AA11" s="199"/>
      <c r="AB11" s="199"/>
      <c r="AC11" s="205"/>
      <c r="AD11" s="205"/>
      <c r="AE11" s="205"/>
    </row>
    <row r="12">
      <c r="A12" s="199"/>
      <c r="B12" s="222">
        <f t="shared" si="1"/>
        <v>9</v>
      </c>
      <c r="C12" s="231"/>
      <c r="D12" s="225" t="s">
        <v>177</v>
      </c>
      <c r="E12" s="232" t="s">
        <v>172</v>
      </c>
      <c r="F12" s="233" t="s">
        <v>173</v>
      </c>
      <c r="G12" s="236" t="s">
        <v>256</v>
      </c>
      <c r="H12" s="228" t="s">
        <v>253</v>
      </c>
      <c r="I12" s="235"/>
      <c r="J12" s="229"/>
      <c r="K12" s="78" t="s">
        <v>66</v>
      </c>
      <c r="L12" s="78" t="s">
        <v>42</v>
      </c>
      <c r="M12" s="78" t="s">
        <v>42</v>
      </c>
      <c r="N12" s="78" t="s">
        <v>42</v>
      </c>
      <c r="O12" s="78" t="s">
        <v>42</v>
      </c>
      <c r="P12" s="78" t="s">
        <v>42</v>
      </c>
      <c r="Q12" s="230" t="s">
        <v>254</v>
      </c>
      <c r="R12" s="234"/>
      <c r="S12" s="230"/>
      <c r="T12" s="199"/>
      <c r="U12" s="199"/>
      <c r="V12" s="199"/>
      <c r="W12" s="199"/>
      <c r="X12" s="199"/>
      <c r="Y12" s="199"/>
      <c r="Z12" s="199"/>
      <c r="AA12" s="199"/>
      <c r="AB12" s="199"/>
      <c r="AC12" s="205"/>
      <c r="AD12" s="205"/>
      <c r="AE12" s="205"/>
    </row>
    <row r="13">
      <c r="A13" s="199"/>
      <c r="B13" s="222">
        <f t="shared" si="1"/>
        <v>10</v>
      </c>
      <c r="C13" s="231"/>
      <c r="D13" s="225" t="s">
        <v>178</v>
      </c>
      <c r="E13" s="232" t="s">
        <v>172</v>
      </c>
      <c r="F13" s="233" t="s">
        <v>173</v>
      </c>
      <c r="G13" s="236" t="s">
        <v>262</v>
      </c>
      <c r="H13" s="228" t="s">
        <v>253</v>
      </c>
      <c r="I13" s="235"/>
      <c r="J13" s="229"/>
      <c r="K13" s="78" t="s">
        <v>66</v>
      </c>
      <c r="L13" s="78" t="s">
        <v>42</v>
      </c>
      <c r="M13" s="78" t="s">
        <v>42</v>
      </c>
      <c r="N13" s="78" t="s">
        <v>42</v>
      </c>
      <c r="O13" s="78" t="s">
        <v>42</v>
      </c>
      <c r="P13" s="78" t="s">
        <v>42</v>
      </c>
      <c r="Q13" s="230" t="s">
        <v>254</v>
      </c>
      <c r="R13" s="234"/>
      <c r="S13" s="230"/>
      <c r="T13" s="199"/>
      <c r="U13" s="199"/>
      <c r="V13" s="199"/>
      <c r="W13" s="199"/>
      <c r="X13" s="199"/>
      <c r="Y13" s="199"/>
      <c r="Z13" s="199"/>
      <c r="AA13" s="199"/>
      <c r="AB13" s="199"/>
      <c r="AC13" s="205"/>
      <c r="AD13" s="205"/>
      <c r="AE13" s="205"/>
    </row>
    <row r="14">
      <c r="A14" s="199"/>
      <c r="B14" s="222">
        <f t="shared" si="1"/>
        <v>11</v>
      </c>
      <c r="C14" s="231"/>
      <c r="D14" s="225" t="s">
        <v>184</v>
      </c>
      <c r="E14" s="232" t="s">
        <v>172</v>
      </c>
      <c r="F14" s="233" t="s">
        <v>173</v>
      </c>
      <c r="G14" s="236" t="s">
        <v>263</v>
      </c>
      <c r="H14" s="228" t="s">
        <v>253</v>
      </c>
      <c r="I14" s="235"/>
      <c r="J14" s="229"/>
      <c r="K14" s="78" t="s">
        <v>66</v>
      </c>
      <c r="L14" s="78" t="s">
        <v>42</v>
      </c>
      <c r="M14" s="78" t="s">
        <v>42</v>
      </c>
      <c r="N14" s="78" t="s">
        <v>42</v>
      </c>
      <c r="O14" s="78" t="s">
        <v>42</v>
      </c>
      <c r="P14" s="78" t="s">
        <v>42</v>
      </c>
      <c r="Q14" s="230" t="s">
        <v>254</v>
      </c>
      <c r="R14" s="234"/>
      <c r="S14" s="230"/>
      <c r="T14" s="199"/>
      <c r="U14" s="199"/>
      <c r="V14" s="199"/>
      <c r="W14" s="199"/>
      <c r="X14" s="199"/>
      <c r="Y14" s="199"/>
      <c r="Z14" s="199"/>
      <c r="AA14" s="199"/>
      <c r="AB14" s="199"/>
      <c r="AC14" s="205"/>
      <c r="AD14" s="205"/>
      <c r="AE14" s="205"/>
    </row>
    <row r="15">
      <c r="A15" s="199"/>
      <c r="B15" s="222">
        <f t="shared" si="1"/>
        <v>12</v>
      </c>
      <c r="C15" s="231"/>
      <c r="D15" s="225" t="s">
        <v>183</v>
      </c>
      <c r="E15" s="232" t="s">
        <v>172</v>
      </c>
      <c r="F15" s="233" t="s">
        <v>173</v>
      </c>
      <c r="G15" s="236" t="s">
        <v>264</v>
      </c>
      <c r="H15" s="228" t="s">
        <v>253</v>
      </c>
      <c r="I15" s="235"/>
      <c r="J15" s="229"/>
      <c r="K15" s="78" t="s">
        <v>66</v>
      </c>
      <c r="L15" s="78" t="s">
        <v>42</v>
      </c>
      <c r="M15" s="78" t="s">
        <v>42</v>
      </c>
      <c r="N15" s="78" t="s">
        <v>42</v>
      </c>
      <c r="O15" s="78" t="s">
        <v>42</v>
      </c>
      <c r="P15" s="78" t="s">
        <v>42</v>
      </c>
      <c r="Q15" s="230" t="s">
        <v>254</v>
      </c>
      <c r="R15" s="234"/>
      <c r="S15" s="230"/>
      <c r="T15" s="199"/>
      <c r="U15" s="199"/>
      <c r="V15" s="199"/>
      <c r="W15" s="199"/>
      <c r="X15" s="199"/>
      <c r="Y15" s="199"/>
      <c r="Z15" s="199"/>
      <c r="AA15" s="199"/>
      <c r="AB15" s="199"/>
      <c r="AC15" s="205"/>
      <c r="AD15" s="205"/>
      <c r="AE15" s="205"/>
    </row>
    <row r="16">
      <c r="A16" s="199"/>
      <c r="B16" s="222">
        <f t="shared" si="1"/>
        <v>13</v>
      </c>
      <c r="C16" s="226" t="s">
        <v>265</v>
      </c>
      <c r="D16" s="237" t="s">
        <v>186</v>
      </c>
      <c r="E16" s="176" t="s">
        <v>187</v>
      </c>
      <c r="F16" s="238" t="s">
        <v>173</v>
      </c>
      <c r="G16" s="237" t="s">
        <v>266</v>
      </c>
      <c r="H16" s="228" t="s">
        <v>267</v>
      </c>
      <c r="I16" s="228"/>
      <c r="J16" s="229"/>
      <c r="K16" s="78" t="s">
        <v>66</v>
      </c>
      <c r="L16" s="78" t="s">
        <v>42</v>
      </c>
      <c r="M16" s="78" t="s">
        <v>42</v>
      </c>
      <c r="N16" s="78" t="s">
        <v>42</v>
      </c>
      <c r="O16" s="78" t="s">
        <v>42</v>
      </c>
      <c r="P16" s="78" t="s">
        <v>42</v>
      </c>
      <c r="Q16" s="230" t="s">
        <v>254</v>
      </c>
      <c r="R16" s="234"/>
      <c r="S16" s="230"/>
      <c r="T16" s="199"/>
      <c r="U16" s="199"/>
      <c r="V16" s="199"/>
      <c r="W16" s="199"/>
      <c r="X16" s="199"/>
      <c r="Y16" s="199"/>
      <c r="Z16" s="199"/>
      <c r="AA16" s="199"/>
      <c r="AB16" s="199"/>
      <c r="AC16" s="205"/>
      <c r="AD16" s="205"/>
      <c r="AE16" s="205"/>
    </row>
    <row r="17">
      <c r="A17" s="199"/>
      <c r="B17" s="222">
        <f t="shared" si="1"/>
        <v>14</v>
      </c>
      <c r="C17" s="231"/>
      <c r="D17" s="237" t="s">
        <v>189</v>
      </c>
      <c r="E17" s="176" t="s">
        <v>187</v>
      </c>
      <c r="F17" s="239" t="s">
        <v>173</v>
      </c>
      <c r="G17" s="237" t="s">
        <v>268</v>
      </c>
      <c r="H17" s="228" t="s">
        <v>267</v>
      </c>
      <c r="I17" s="228"/>
      <c r="J17" s="229"/>
      <c r="K17" s="78" t="s">
        <v>66</v>
      </c>
      <c r="L17" s="78" t="s">
        <v>42</v>
      </c>
      <c r="M17" s="78" t="s">
        <v>42</v>
      </c>
      <c r="N17" s="78" t="s">
        <v>42</v>
      </c>
      <c r="O17" s="78" t="s">
        <v>42</v>
      </c>
      <c r="P17" s="78" t="s">
        <v>42</v>
      </c>
      <c r="Q17" s="230" t="s">
        <v>254</v>
      </c>
      <c r="R17" s="234"/>
      <c r="S17" s="230"/>
      <c r="T17" s="199"/>
      <c r="U17" s="199"/>
      <c r="V17" s="199"/>
      <c r="W17" s="199"/>
      <c r="X17" s="199"/>
      <c r="Y17" s="199"/>
      <c r="Z17" s="199"/>
      <c r="AA17" s="199"/>
      <c r="AB17" s="199"/>
      <c r="AC17" s="205"/>
      <c r="AD17" s="205"/>
      <c r="AE17" s="205"/>
    </row>
    <row r="18">
      <c r="A18" s="199"/>
      <c r="B18" s="222">
        <f t="shared" si="1"/>
        <v>15</v>
      </c>
      <c r="C18" s="231"/>
      <c r="D18" s="237" t="s">
        <v>190</v>
      </c>
      <c r="E18" s="176" t="s">
        <v>191</v>
      </c>
      <c r="F18" s="239" t="s">
        <v>173</v>
      </c>
      <c r="G18" s="237" t="s">
        <v>269</v>
      </c>
      <c r="H18" s="228" t="s">
        <v>267</v>
      </c>
      <c r="I18" s="228"/>
      <c r="J18" s="229"/>
      <c r="K18" s="78" t="s">
        <v>66</v>
      </c>
      <c r="L18" s="78" t="s">
        <v>42</v>
      </c>
      <c r="M18" s="78" t="s">
        <v>42</v>
      </c>
      <c r="N18" s="78" t="s">
        <v>42</v>
      </c>
      <c r="O18" s="78" t="s">
        <v>42</v>
      </c>
      <c r="P18" s="78" t="s">
        <v>42</v>
      </c>
      <c r="Q18" s="230" t="s">
        <v>254</v>
      </c>
      <c r="R18" s="234"/>
      <c r="S18" s="230"/>
      <c r="T18" s="199"/>
      <c r="U18" s="199"/>
      <c r="V18" s="199"/>
      <c r="W18" s="199"/>
      <c r="X18" s="199"/>
      <c r="Y18" s="199"/>
      <c r="Z18" s="199"/>
      <c r="AA18" s="199"/>
      <c r="AB18" s="199"/>
      <c r="AC18" s="205"/>
      <c r="AD18" s="205"/>
      <c r="AE18" s="205"/>
    </row>
    <row r="19">
      <c r="A19" s="199"/>
      <c r="B19" s="222">
        <f t="shared" si="1"/>
        <v>16</v>
      </c>
      <c r="C19" s="231"/>
      <c r="D19" s="237" t="s">
        <v>192</v>
      </c>
      <c r="E19" s="176" t="s">
        <v>193</v>
      </c>
      <c r="F19" s="239" t="s">
        <v>173</v>
      </c>
      <c r="G19" s="237" t="s">
        <v>270</v>
      </c>
      <c r="H19" s="228" t="s">
        <v>267</v>
      </c>
      <c r="I19" s="228"/>
      <c r="J19" s="229"/>
      <c r="K19" s="78" t="s">
        <v>66</v>
      </c>
      <c r="L19" s="78" t="s">
        <v>42</v>
      </c>
      <c r="M19" s="78" t="s">
        <v>42</v>
      </c>
      <c r="N19" s="78" t="s">
        <v>42</v>
      </c>
      <c r="O19" s="78" t="s">
        <v>42</v>
      </c>
      <c r="P19" s="78" t="s">
        <v>42</v>
      </c>
      <c r="Q19" s="230" t="s">
        <v>254</v>
      </c>
      <c r="R19" s="234"/>
      <c r="S19" s="230"/>
      <c r="T19" s="199"/>
      <c r="U19" s="199"/>
      <c r="V19" s="199"/>
      <c r="W19" s="199"/>
      <c r="X19" s="199"/>
      <c r="Y19" s="199"/>
      <c r="Z19" s="199"/>
      <c r="AA19" s="199"/>
      <c r="AB19" s="199"/>
      <c r="AC19" s="205"/>
      <c r="AD19" s="205"/>
      <c r="AE19" s="205"/>
    </row>
    <row r="20">
      <c r="A20" s="199"/>
      <c r="B20" s="222">
        <f t="shared" si="1"/>
        <v>17</v>
      </c>
      <c r="C20" s="231"/>
      <c r="D20" s="237" t="s">
        <v>194</v>
      </c>
      <c r="E20" s="176" t="s">
        <v>195</v>
      </c>
      <c r="F20" s="239" t="s">
        <v>173</v>
      </c>
      <c r="G20" s="237" t="s">
        <v>271</v>
      </c>
      <c r="H20" s="228" t="s">
        <v>267</v>
      </c>
      <c r="I20" s="228"/>
      <c r="J20" s="229"/>
      <c r="K20" s="78" t="s">
        <v>66</v>
      </c>
      <c r="L20" s="78" t="s">
        <v>42</v>
      </c>
      <c r="M20" s="78" t="s">
        <v>42</v>
      </c>
      <c r="N20" s="78" t="s">
        <v>42</v>
      </c>
      <c r="O20" s="78" t="s">
        <v>42</v>
      </c>
      <c r="P20" s="78" t="s">
        <v>42</v>
      </c>
      <c r="Q20" s="230" t="s">
        <v>254</v>
      </c>
      <c r="R20" s="234"/>
      <c r="S20" s="230"/>
      <c r="T20" s="199"/>
      <c r="U20" s="199"/>
      <c r="V20" s="199"/>
      <c r="W20" s="199"/>
      <c r="X20" s="199"/>
      <c r="Y20" s="199"/>
      <c r="Z20" s="199"/>
      <c r="AA20" s="199"/>
      <c r="AB20" s="199"/>
      <c r="AC20" s="205"/>
      <c r="AD20" s="205"/>
      <c r="AE20" s="205"/>
    </row>
    <row r="21">
      <c r="A21" s="199"/>
      <c r="B21" s="222">
        <f t="shared" si="1"/>
        <v>18</v>
      </c>
      <c r="C21" s="231"/>
      <c r="D21" s="240" t="s">
        <v>272</v>
      </c>
      <c r="E21" s="241" t="s">
        <v>273</v>
      </c>
      <c r="F21" s="239" t="s">
        <v>173</v>
      </c>
      <c r="G21" s="237" t="s">
        <v>274</v>
      </c>
      <c r="H21" s="228" t="s">
        <v>267</v>
      </c>
      <c r="I21" s="228"/>
      <c r="J21" s="229"/>
      <c r="K21" s="78" t="s">
        <v>66</v>
      </c>
      <c r="L21" s="78" t="s">
        <v>42</v>
      </c>
      <c r="M21" s="78" t="s">
        <v>42</v>
      </c>
      <c r="N21" s="78" t="s">
        <v>42</v>
      </c>
      <c r="O21" s="78" t="s">
        <v>42</v>
      </c>
      <c r="P21" s="78" t="s">
        <v>42</v>
      </c>
      <c r="Q21" s="230" t="s">
        <v>254</v>
      </c>
      <c r="R21" s="234"/>
      <c r="S21" s="230"/>
      <c r="T21" s="199"/>
      <c r="U21" s="199"/>
      <c r="V21" s="199"/>
      <c r="W21" s="199"/>
      <c r="X21" s="199"/>
      <c r="Y21" s="199"/>
      <c r="Z21" s="199"/>
      <c r="AA21" s="199"/>
      <c r="AB21" s="199"/>
      <c r="AC21" s="205"/>
      <c r="AD21" s="205"/>
      <c r="AE21" s="205"/>
    </row>
    <row r="22">
      <c r="A22" s="199"/>
      <c r="B22" s="222">
        <f t="shared" si="1"/>
        <v>19</v>
      </c>
      <c r="C22" s="231"/>
      <c r="D22" s="242"/>
      <c r="E22" s="241" t="s">
        <v>275</v>
      </c>
      <c r="F22" s="239" t="s">
        <v>173</v>
      </c>
      <c r="G22" s="237" t="s">
        <v>276</v>
      </c>
      <c r="H22" s="228" t="s">
        <v>267</v>
      </c>
      <c r="I22" s="228"/>
      <c r="J22" s="229"/>
      <c r="K22" s="78" t="s">
        <v>66</v>
      </c>
      <c r="L22" s="78" t="s">
        <v>42</v>
      </c>
      <c r="M22" s="78" t="s">
        <v>42</v>
      </c>
      <c r="N22" s="78" t="s">
        <v>42</v>
      </c>
      <c r="O22" s="78" t="s">
        <v>42</v>
      </c>
      <c r="P22" s="78" t="s">
        <v>42</v>
      </c>
      <c r="Q22" s="230" t="s">
        <v>254</v>
      </c>
      <c r="R22" s="234"/>
      <c r="S22" s="230"/>
      <c r="T22" s="199"/>
      <c r="U22" s="199"/>
      <c r="V22" s="199"/>
      <c r="W22" s="199"/>
      <c r="X22" s="199"/>
      <c r="Y22" s="199"/>
      <c r="Z22" s="199"/>
      <c r="AA22" s="199"/>
      <c r="AB22" s="199"/>
      <c r="AC22" s="205"/>
      <c r="AD22" s="205"/>
      <c r="AE22" s="205"/>
    </row>
    <row r="23">
      <c r="A23" s="199"/>
      <c r="B23" s="222">
        <f t="shared" si="1"/>
        <v>20</v>
      </c>
      <c r="C23" s="233" t="s">
        <v>185</v>
      </c>
      <c r="D23" s="237" t="s">
        <v>199</v>
      </c>
      <c r="E23" s="176" t="s">
        <v>200</v>
      </c>
      <c r="F23" s="239" t="s">
        <v>173</v>
      </c>
      <c r="G23" s="237" t="s">
        <v>277</v>
      </c>
      <c r="H23" s="228" t="s">
        <v>267</v>
      </c>
      <c r="I23" s="228"/>
      <c r="J23" s="229"/>
      <c r="K23" s="78" t="s">
        <v>66</v>
      </c>
      <c r="L23" s="78" t="s">
        <v>42</v>
      </c>
      <c r="M23" s="78" t="s">
        <v>42</v>
      </c>
      <c r="N23" s="78" t="s">
        <v>42</v>
      </c>
      <c r="O23" s="78" t="s">
        <v>42</v>
      </c>
      <c r="P23" s="78" t="s">
        <v>42</v>
      </c>
      <c r="Q23" s="230" t="s">
        <v>254</v>
      </c>
      <c r="R23" s="234"/>
      <c r="S23" s="230"/>
      <c r="T23" s="199"/>
      <c r="U23" s="199"/>
      <c r="V23" s="199"/>
      <c r="W23" s="199"/>
      <c r="X23" s="199"/>
      <c r="Y23" s="199"/>
      <c r="Z23" s="199"/>
      <c r="AA23" s="199"/>
      <c r="AB23" s="199"/>
      <c r="AC23" s="205"/>
      <c r="AD23" s="205"/>
      <c r="AE23" s="205"/>
    </row>
    <row r="24">
      <c r="A24" s="199"/>
      <c r="B24" s="222">
        <f t="shared" si="1"/>
        <v>21</v>
      </c>
      <c r="C24" s="231"/>
      <c r="D24" s="243" t="s">
        <v>201</v>
      </c>
      <c r="E24" s="176" t="s">
        <v>200</v>
      </c>
      <c r="F24" s="239" t="s">
        <v>173</v>
      </c>
      <c r="G24" s="237" t="s">
        <v>278</v>
      </c>
      <c r="H24" s="228" t="s">
        <v>267</v>
      </c>
      <c r="I24" s="228"/>
      <c r="J24" s="229"/>
      <c r="K24" s="78" t="s">
        <v>66</v>
      </c>
      <c r="L24" s="78" t="s">
        <v>42</v>
      </c>
      <c r="M24" s="78" t="s">
        <v>42</v>
      </c>
      <c r="N24" s="78" t="s">
        <v>42</v>
      </c>
      <c r="O24" s="78" t="s">
        <v>42</v>
      </c>
      <c r="P24" s="78" t="s">
        <v>42</v>
      </c>
      <c r="Q24" s="230" t="s">
        <v>254</v>
      </c>
      <c r="R24" s="234"/>
      <c r="S24" s="230"/>
      <c r="T24" s="199"/>
      <c r="U24" s="199"/>
      <c r="V24" s="199"/>
      <c r="W24" s="199"/>
      <c r="X24" s="199"/>
      <c r="Y24" s="199"/>
      <c r="Z24" s="199"/>
      <c r="AA24" s="199"/>
      <c r="AB24" s="199"/>
      <c r="AC24" s="205"/>
      <c r="AD24" s="205"/>
      <c r="AE24" s="205"/>
    </row>
    <row r="25">
      <c r="A25" s="199"/>
      <c r="B25" s="222">
        <f t="shared" si="1"/>
        <v>22</v>
      </c>
      <c r="C25" s="231"/>
      <c r="D25" s="237" t="s">
        <v>210</v>
      </c>
      <c r="E25" s="176" t="s">
        <v>211</v>
      </c>
      <c r="F25" s="239" t="s">
        <v>173</v>
      </c>
      <c r="G25" s="237" t="s">
        <v>279</v>
      </c>
      <c r="H25" s="228" t="s">
        <v>267</v>
      </c>
      <c r="I25" s="235"/>
      <c r="J25" s="229"/>
      <c r="K25" s="78" t="s">
        <v>66</v>
      </c>
      <c r="L25" s="78" t="s">
        <v>42</v>
      </c>
      <c r="M25" s="78" t="s">
        <v>42</v>
      </c>
      <c r="N25" s="78" t="s">
        <v>42</v>
      </c>
      <c r="O25" s="78" t="s">
        <v>42</v>
      </c>
      <c r="P25" s="78" t="s">
        <v>42</v>
      </c>
      <c r="Q25" s="230" t="s">
        <v>254</v>
      </c>
      <c r="R25" s="234"/>
      <c r="S25" s="230"/>
      <c r="T25" s="199"/>
      <c r="U25" s="199"/>
      <c r="V25" s="199"/>
      <c r="W25" s="199"/>
      <c r="X25" s="199"/>
      <c r="Y25" s="199"/>
      <c r="Z25" s="199"/>
      <c r="AA25" s="199"/>
      <c r="AB25" s="199"/>
      <c r="AC25" s="205"/>
      <c r="AD25" s="205"/>
      <c r="AE25" s="205"/>
    </row>
    <row r="26">
      <c r="A26" s="199"/>
      <c r="B26" s="222">
        <f t="shared" si="1"/>
        <v>23</v>
      </c>
      <c r="C26" s="244"/>
      <c r="D26" s="245" t="s">
        <v>215</v>
      </c>
      <c r="E26" s="246" t="s">
        <v>216</v>
      </c>
      <c r="F26" s="239" t="s">
        <v>173</v>
      </c>
      <c r="G26" s="227" t="s">
        <v>280</v>
      </c>
      <c r="H26" s="228" t="s">
        <v>267</v>
      </c>
      <c r="I26" s="235"/>
      <c r="J26" s="229"/>
      <c r="K26" s="78" t="s">
        <v>66</v>
      </c>
      <c r="L26" s="78" t="s">
        <v>42</v>
      </c>
      <c r="M26" s="78" t="s">
        <v>42</v>
      </c>
      <c r="N26" s="78" t="s">
        <v>42</v>
      </c>
      <c r="O26" s="78" t="s">
        <v>42</v>
      </c>
      <c r="P26" s="78" t="s">
        <v>42</v>
      </c>
      <c r="Q26" s="230" t="s">
        <v>254</v>
      </c>
      <c r="R26" s="234"/>
      <c r="S26" s="234"/>
      <c r="T26" s="199"/>
      <c r="U26" s="199"/>
      <c r="V26" s="199"/>
      <c r="W26" s="199"/>
      <c r="X26" s="199"/>
      <c r="Y26" s="199"/>
      <c r="Z26" s="199"/>
      <c r="AA26" s="199"/>
      <c r="AB26" s="199"/>
      <c r="AC26" s="205"/>
      <c r="AD26" s="205"/>
      <c r="AE26" s="205"/>
    </row>
    <row r="27">
      <c r="A27" s="199"/>
      <c r="B27" s="222">
        <f t="shared" si="1"/>
        <v>24</v>
      </c>
      <c r="C27" s="231"/>
      <c r="D27" s="243" t="s">
        <v>213</v>
      </c>
      <c r="E27" s="176" t="s">
        <v>214</v>
      </c>
      <c r="F27" s="239" t="s">
        <v>173</v>
      </c>
      <c r="G27" s="237" t="s">
        <v>281</v>
      </c>
      <c r="H27" s="228" t="s">
        <v>267</v>
      </c>
      <c r="I27" s="235"/>
      <c r="J27" s="229"/>
      <c r="K27" s="78" t="s">
        <v>66</v>
      </c>
      <c r="L27" s="78" t="s">
        <v>42</v>
      </c>
      <c r="M27" s="78" t="s">
        <v>42</v>
      </c>
      <c r="N27" s="78" t="s">
        <v>42</v>
      </c>
      <c r="O27" s="78" t="s">
        <v>42</v>
      </c>
      <c r="P27" s="78" t="s">
        <v>42</v>
      </c>
      <c r="Q27" s="230" t="s">
        <v>254</v>
      </c>
      <c r="R27" s="234"/>
      <c r="S27" s="230"/>
      <c r="T27" s="199"/>
      <c r="U27" s="199"/>
      <c r="V27" s="199"/>
      <c r="W27" s="199"/>
      <c r="X27" s="199"/>
      <c r="Y27" s="199"/>
      <c r="Z27" s="199"/>
      <c r="AA27" s="199"/>
      <c r="AB27" s="199"/>
      <c r="AC27" s="205"/>
      <c r="AD27" s="205"/>
      <c r="AE27" s="205"/>
    </row>
    <row r="28">
      <c r="A28" s="199"/>
      <c r="B28" s="222">
        <f t="shared" si="1"/>
        <v>25</v>
      </c>
      <c r="C28" s="247"/>
      <c r="D28" s="248" t="s">
        <v>217</v>
      </c>
      <c r="E28" s="237" t="s">
        <v>220</v>
      </c>
      <c r="F28" s="239" t="s">
        <v>173</v>
      </c>
      <c r="G28" s="237" t="s">
        <v>282</v>
      </c>
      <c r="H28" s="228" t="s">
        <v>267</v>
      </c>
      <c r="I28" s="228"/>
      <c r="J28" s="229"/>
      <c r="K28" s="78" t="s">
        <v>66</v>
      </c>
      <c r="L28" s="78" t="s">
        <v>42</v>
      </c>
      <c r="M28" s="78" t="s">
        <v>42</v>
      </c>
      <c r="N28" s="78" t="s">
        <v>42</v>
      </c>
      <c r="O28" s="78" t="s">
        <v>42</v>
      </c>
      <c r="P28" s="78" t="s">
        <v>42</v>
      </c>
      <c r="Q28" s="230" t="s">
        <v>254</v>
      </c>
      <c r="R28" s="234"/>
      <c r="S28" s="230"/>
      <c r="T28" s="199"/>
      <c r="U28" s="199"/>
      <c r="V28" s="199"/>
      <c r="W28" s="199"/>
      <c r="X28" s="199"/>
      <c r="Y28" s="199"/>
      <c r="Z28" s="199"/>
      <c r="AA28" s="199"/>
      <c r="AB28" s="199"/>
      <c r="AC28" s="205"/>
      <c r="AD28" s="205"/>
      <c r="AE28" s="205"/>
    </row>
    <row r="29">
      <c r="A29" s="199"/>
      <c r="B29" s="222">
        <f t="shared" si="1"/>
        <v>26</v>
      </c>
      <c r="C29" s="247"/>
      <c r="D29" s="249"/>
      <c r="E29" s="237" t="s">
        <v>218</v>
      </c>
      <c r="F29" s="239" t="s">
        <v>173</v>
      </c>
      <c r="G29" s="237" t="s">
        <v>283</v>
      </c>
      <c r="H29" s="228" t="s">
        <v>267</v>
      </c>
      <c r="I29" s="228"/>
      <c r="J29" s="229"/>
      <c r="K29" s="78" t="s">
        <v>66</v>
      </c>
      <c r="L29" s="78" t="s">
        <v>42</v>
      </c>
      <c r="M29" s="78" t="s">
        <v>42</v>
      </c>
      <c r="N29" s="78" t="s">
        <v>42</v>
      </c>
      <c r="O29" s="78" t="s">
        <v>42</v>
      </c>
      <c r="P29" s="78" t="s">
        <v>42</v>
      </c>
      <c r="Q29" s="230" t="s">
        <v>254</v>
      </c>
      <c r="R29" s="234"/>
      <c r="S29" s="230"/>
      <c r="T29" s="199"/>
      <c r="U29" s="199"/>
      <c r="V29" s="199"/>
      <c r="W29" s="199"/>
      <c r="X29" s="199"/>
      <c r="Y29" s="199"/>
      <c r="Z29" s="199"/>
      <c r="AA29" s="199"/>
      <c r="AB29" s="199"/>
      <c r="AC29" s="205"/>
      <c r="AD29" s="205"/>
      <c r="AE29" s="205"/>
    </row>
    <row r="30">
      <c r="A30" s="199"/>
      <c r="B30" s="222">
        <f t="shared" si="1"/>
        <v>27</v>
      </c>
      <c r="C30" s="231"/>
      <c r="D30" s="242" t="s">
        <v>221</v>
      </c>
      <c r="E30" s="176" t="s">
        <v>42</v>
      </c>
      <c r="F30" s="239" t="s">
        <v>173</v>
      </c>
      <c r="G30" s="237" t="s">
        <v>284</v>
      </c>
      <c r="H30" s="228" t="s">
        <v>267</v>
      </c>
      <c r="I30" s="235"/>
      <c r="J30" s="229"/>
      <c r="K30" s="78" t="s">
        <v>66</v>
      </c>
      <c r="L30" s="78" t="s">
        <v>42</v>
      </c>
      <c r="M30" s="78" t="s">
        <v>42</v>
      </c>
      <c r="N30" s="78" t="s">
        <v>42</v>
      </c>
      <c r="O30" s="78" t="s">
        <v>42</v>
      </c>
      <c r="P30" s="78" t="s">
        <v>42</v>
      </c>
      <c r="Q30" s="230" t="s">
        <v>254</v>
      </c>
      <c r="R30" s="234"/>
      <c r="S30" s="230"/>
      <c r="T30" s="199"/>
      <c r="U30" s="199"/>
      <c r="V30" s="199"/>
      <c r="W30" s="199"/>
      <c r="X30" s="199"/>
      <c r="Y30" s="199"/>
      <c r="Z30" s="199"/>
      <c r="AA30" s="199"/>
      <c r="AB30" s="199"/>
      <c r="AC30" s="205"/>
      <c r="AD30" s="205"/>
      <c r="AE30" s="205"/>
    </row>
    <row r="31">
      <c r="A31" s="199"/>
      <c r="B31" s="222">
        <f t="shared" si="1"/>
        <v>28</v>
      </c>
      <c r="C31" s="231"/>
      <c r="D31" s="243" t="s">
        <v>222</v>
      </c>
      <c r="E31" s="176" t="s">
        <v>223</v>
      </c>
      <c r="F31" s="250" t="s">
        <v>173</v>
      </c>
      <c r="G31" s="237" t="s">
        <v>285</v>
      </c>
      <c r="H31" s="228" t="s">
        <v>267</v>
      </c>
      <c r="I31" s="235"/>
      <c r="J31" s="229"/>
      <c r="K31" s="78" t="s">
        <v>66</v>
      </c>
      <c r="L31" s="78" t="s">
        <v>42</v>
      </c>
      <c r="M31" s="78" t="s">
        <v>42</v>
      </c>
      <c r="N31" s="78" t="s">
        <v>42</v>
      </c>
      <c r="O31" s="78" t="s">
        <v>42</v>
      </c>
      <c r="P31" s="78" t="s">
        <v>42</v>
      </c>
      <c r="Q31" s="230" t="s">
        <v>254</v>
      </c>
      <c r="R31" s="234"/>
      <c r="S31" s="230"/>
      <c r="T31" s="199"/>
      <c r="U31" s="199"/>
      <c r="V31" s="199"/>
      <c r="W31" s="199"/>
      <c r="X31" s="199"/>
      <c r="Y31" s="199"/>
      <c r="Z31" s="199"/>
      <c r="AA31" s="199"/>
      <c r="AB31" s="199"/>
      <c r="AC31" s="205"/>
      <c r="AD31" s="205"/>
      <c r="AE31" s="205"/>
    </row>
    <row r="32">
      <c r="A32" s="199"/>
      <c r="B32" s="222">
        <f t="shared" si="1"/>
        <v>29</v>
      </c>
      <c r="C32" s="226" t="s">
        <v>224</v>
      </c>
      <c r="D32" s="251" t="s">
        <v>225</v>
      </c>
      <c r="E32" s="252" t="s">
        <v>226</v>
      </c>
      <c r="F32" s="253" t="s">
        <v>227</v>
      </c>
      <c r="G32" s="236" t="s">
        <v>286</v>
      </c>
      <c r="H32" s="228" t="s">
        <v>287</v>
      </c>
      <c r="I32" s="235"/>
      <c r="J32" s="229"/>
      <c r="K32" s="78" t="s">
        <v>66</v>
      </c>
      <c r="L32" s="78" t="s">
        <v>42</v>
      </c>
      <c r="M32" s="78" t="s">
        <v>42</v>
      </c>
      <c r="N32" s="78" t="s">
        <v>42</v>
      </c>
      <c r="O32" s="78" t="s">
        <v>42</v>
      </c>
      <c r="P32" s="78" t="s">
        <v>42</v>
      </c>
      <c r="Q32" s="230" t="s">
        <v>254</v>
      </c>
      <c r="R32" s="234"/>
      <c r="S32" s="230"/>
      <c r="T32" s="199"/>
      <c r="U32" s="199"/>
      <c r="V32" s="199"/>
      <c r="W32" s="199"/>
      <c r="X32" s="199"/>
      <c r="Y32" s="199"/>
      <c r="Z32" s="199"/>
      <c r="AA32" s="199"/>
      <c r="AB32" s="199"/>
      <c r="AC32" s="205"/>
      <c r="AD32" s="205"/>
      <c r="AE32" s="205"/>
    </row>
    <row r="33">
      <c r="A33" s="199"/>
      <c r="B33" s="222">
        <f t="shared" si="1"/>
        <v>30</v>
      </c>
      <c r="C33" s="231"/>
      <c r="D33" s="254"/>
      <c r="E33" s="252" t="s">
        <v>228</v>
      </c>
      <c r="F33" s="255" t="s">
        <v>229</v>
      </c>
      <c r="G33" s="236" t="s">
        <v>288</v>
      </c>
      <c r="H33" s="228" t="s">
        <v>289</v>
      </c>
      <c r="I33" s="235"/>
      <c r="J33" s="229"/>
      <c r="K33" s="78" t="s">
        <v>66</v>
      </c>
      <c r="L33" s="78" t="s">
        <v>42</v>
      </c>
      <c r="M33" s="78" t="s">
        <v>42</v>
      </c>
      <c r="N33" s="78" t="s">
        <v>42</v>
      </c>
      <c r="O33" s="78" t="s">
        <v>42</v>
      </c>
      <c r="P33" s="78" t="s">
        <v>42</v>
      </c>
      <c r="Q33" s="230" t="s">
        <v>254</v>
      </c>
      <c r="R33" s="234"/>
      <c r="S33" s="230"/>
      <c r="T33" s="199"/>
      <c r="U33" s="199"/>
      <c r="V33" s="199"/>
      <c r="W33" s="199"/>
      <c r="X33" s="199"/>
      <c r="Y33" s="199"/>
      <c r="Z33" s="199"/>
      <c r="AA33" s="199"/>
      <c r="AB33" s="199"/>
      <c r="AC33" s="205"/>
      <c r="AD33" s="205"/>
      <c r="AE33" s="205"/>
    </row>
    <row r="34">
      <c r="A34" s="199"/>
      <c r="B34" s="222">
        <f t="shared" si="1"/>
        <v>31</v>
      </c>
      <c r="C34" s="231"/>
      <c r="D34" s="254"/>
      <c r="E34" s="252" t="s">
        <v>228</v>
      </c>
      <c r="F34" s="255" t="s">
        <v>230</v>
      </c>
      <c r="G34" s="236" t="s">
        <v>290</v>
      </c>
      <c r="H34" s="228" t="s">
        <v>291</v>
      </c>
      <c r="I34" s="235"/>
      <c r="J34" s="229"/>
      <c r="K34" s="78" t="s">
        <v>66</v>
      </c>
      <c r="L34" s="78" t="s">
        <v>42</v>
      </c>
      <c r="M34" s="78" t="s">
        <v>42</v>
      </c>
      <c r="N34" s="78" t="s">
        <v>42</v>
      </c>
      <c r="O34" s="78" t="s">
        <v>42</v>
      </c>
      <c r="P34" s="78" t="s">
        <v>42</v>
      </c>
      <c r="Q34" s="230" t="s">
        <v>254</v>
      </c>
      <c r="R34" s="234"/>
      <c r="S34" s="230"/>
      <c r="T34" s="199"/>
      <c r="U34" s="199"/>
      <c r="V34" s="199"/>
      <c r="W34" s="199"/>
      <c r="X34" s="199"/>
      <c r="Y34" s="199"/>
      <c r="Z34" s="199"/>
      <c r="AA34" s="199"/>
      <c r="AB34" s="199"/>
      <c r="AC34" s="205"/>
      <c r="AD34" s="205"/>
      <c r="AE34" s="205"/>
    </row>
    <row r="35">
      <c r="A35" s="199"/>
      <c r="B35" s="222">
        <f t="shared" si="1"/>
        <v>32</v>
      </c>
      <c r="C35" s="244"/>
      <c r="D35" s="254"/>
      <c r="E35" s="252" t="s">
        <v>231</v>
      </c>
      <c r="F35" s="255" t="s">
        <v>227</v>
      </c>
      <c r="G35" s="236" t="s">
        <v>292</v>
      </c>
      <c r="H35" s="228" t="s">
        <v>293</v>
      </c>
      <c r="I35" s="235"/>
      <c r="J35" s="229"/>
      <c r="K35" s="78" t="s">
        <v>66</v>
      </c>
      <c r="L35" s="78" t="s">
        <v>42</v>
      </c>
      <c r="M35" s="78" t="s">
        <v>42</v>
      </c>
      <c r="N35" s="78" t="s">
        <v>42</v>
      </c>
      <c r="O35" s="78" t="s">
        <v>42</v>
      </c>
      <c r="P35" s="78" t="s">
        <v>42</v>
      </c>
      <c r="Q35" s="230" t="s">
        <v>254</v>
      </c>
      <c r="R35" s="234"/>
      <c r="S35" s="234"/>
      <c r="T35" s="199"/>
      <c r="U35" s="199"/>
      <c r="V35" s="199"/>
      <c r="W35" s="199"/>
      <c r="X35" s="199"/>
      <c r="Y35" s="199"/>
      <c r="Z35" s="199"/>
      <c r="AA35" s="199"/>
      <c r="AB35" s="199"/>
      <c r="AC35" s="205"/>
      <c r="AD35" s="205"/>
      <c r="AE35" s="205"/>
    </row>
    <row r="36">
      <c r="A36" s="199"/>
      <c r="B36" s="222">
        <f t="shared" si="1"/>
        <v>33</v>
      </c>
      <c r="C36" s="256"/>
      <c r="D36" s="257" t="s">
        <v>233</v>
      </c>
      <c r="E36" s="252" t="s">
        <v>226</v>
      </c>
      <c r="F36" s="255" t="s">
        <v>227</v>
      </c>
      <c r="G36" s="236" t="s">
        <v>294</v>
      </c>
      <c r="H36" s="228" t="s">
        <v>287</v>
      </c>
      <c r="I36" s="235"/>
      <c r="J36" s="229"/>
      <c r="K36" s="78" t="s">
        <v>66</v>
      </c>
      <c r="L36" s="78" t="s">
        <v>42</v>
      </c>
      <c r="M36" s="78" t="s">
        <v>42</v>
      </c>
      <c r="N36" s="78" t="s">
        <v>42</v>
      </c>
      <c r="O36" s="78" t="s">
        <v>42</v>
      </c>
      <c r="P36" s="78" t="s">
        <v>42</v>
      </c>
      <c r="Q36" s="230" t="s">
        <v>254</v>
      </c>
      <c r="R36" s="234"/>
      <c r="S36" s="234"/>
      <c r="T36" s="199"/>
      <c r="U36" s="199"/>
      <c r="V36" s="199"/>
      <c r="W36" s="199"/>
      <c r="X36" s="199"/>
      <c r="Y36" s="199"/>
      <c r="Z36" s="199"/>
      <c r="AA36" s="199"/>
      <c r="AB36" s="199"/>
      <c r="AC36" s="205"/>
      <c r="AD36" s="205"/>
      <c r="AE36" s="205"/>
    </row>
    <row r="37">
      <c r="A37" s="199"/>
      <c r="B37" s="222">
        <f t="shared" si="1"/>
        <v>34</v>
      </c>
      <c r="C37" s="256"/>
      <c r="D37" s="258"/>
      <c r="E37" s="252" t="s">
        <v>228</v>
      </c>
      <c r="F37" s="255" t="s">
        <v>229</v>
      </c>
      <c r="G37" s="236" t="s">
        <v>295</v>
      </c>
      <c r="H37" s="228" t="s">
        <v>289</v>
      </c>
      <c r="I37" s="235"/>
      <c r="J37" s="229"/>
      <c r="K37" s="78" t="s">
        <v>66</v>
      </c>
      <c r="L37" s="78" t="s">
        <v>42</v>
      </c>
      <c r="M37" s="78" t="s">
        <v>42</v>
      </c>
      <c r="N37" s="78" t="s">
        <v>42</v>
      </c>
      <c r="O37" s="78" t="s">
        <v>42</v>
      </c>
      <c r="P37" s="78" t="s">
        <v>42</v>
      </c>
      <c r="Q37" s="230" t="s">
        <v>254</v>
      </c>
      <c r="R37" s="234"/>
      <c r="S37" s="234"/>
      <c r="T37" s="199"/>
      <c r="U37" s="199"/>
      <c r="V37" s="199"/>
      <c r="W37" s="199"/>
      <c r="X37" s="199"/>
      <c r="Y37" s="199"/>
      <c r="Z37" s="199"/>
      <c r="AA37" s="199"/>
      <c r="AB37" s="199"/>
      <c r="AC37" s="205"/>
      <c r="AD37" s="205"/>
      <c r="AE37" s="205"/>
    </row>
    <row r="38">
      <c r="A38" s="199"/>
      <c r="B38" s="222">
        <f t="shared" si="1"/>
        <v>35</v>
      </c>
      <c r="C38" s="247"/>
      <c r="D38" s="258"/>
      <c r="E38" s="252" t="s">
        <v>228</v>
      </c>
      <c r="F38" s="255" t="s">
        <v>230</v>
      </c>
      <c r="G38" s="236" t="s">
        <v>296</v>
      </c>
      <c r="H38" s="228" t="s">
        <v>291</v>
      </c>
      <c r="I38" s="235"/>
      <c r="J38" s="229"/>
      <c r="K38" s="78" t="s">
        <v>66</v>
      </c>
      <c r="L38" s="78" t="s">
        <v>42</v>
      </c>
      <c r="M38" s="78" t="s">
        <v>42</v>
      </c>
      <c r="N38" s="78" t="s">
        <v>42</v>
      </c>
      <c r="O38" s="78" t="s">
        <v>42</v>
      </c>
      <c r="P38" s="78" t="s">
        <v>42</v>
      </c>
      <c r="Q38" s="230" t="s">
        <v>254</v>
      </c>
      <c r="R38" s="234"/>
      <c r="S38" s="230"/>
      <c r="T38" s="199"/>
      <c r="U38" s="199"/>
      <c r="V38" s="199"/>
      <c r="W38" s="199"/>
      <c r="X38" s="199"/>
      <c r="Y38" s="199"/>
      <c r="Z38" s="199"/>
      <c r="AA38" s="199"/>
      <c r="AB38" s="199"/>
      <c r="AC38" s="205"/>
      <c r="AD38" s="205"/>
      <c r="AE38" s="205"/>
    </row>
    <row r="39">
      <c r="A39" s="199"/>
      <c r="B39" s="222">
        <f t="shared" si="1"/>
        <v>36</v>
      </c>
      <c r="C39" s="247"/>
      <c r="D39" s="259"/>
      <c r="E39" s="252" t="s">
        <v>231</v>
      </c>
      <c r="F39" s="255" t="s">
        <v>227</v>
      </c>
      <c r="G39" s="236" t="s">
        <v>297</v>
      </c>
      <c r="H39" s="228" t="s">
        <v>293</v>
      </c>
      <c r="I39" s="235"/>
      <c r="J39" s="229"/>
      <c r="K39" s="78" t="s">
        <v>66</v>
      </c>
      <c r="L39" s="78" t="s">
        <v>42</v>
      </c>
      <c r="M39" s="78" t="s">
        <v>42</v>
      </c>
      <c r="N39" s="78" t="s">
        <v>42</v>
      </c>
      <c r="O39" s="78" t="s">
        <v>42</v>
      </c>
      <c r="P39" s="78" t="s">
        <v>42</v>
      </c>
      <c r="Q39" s="230" t="s">
        <v>254</v>
      </c>
      <c r="R39" s="234"/>
      <c r="S39" s="230"/>
      <c r="T39" s="199"/>
      <c r="U39" s="199"/>
      <c r="V39" s="199"/>
      <c r="W39" s="199"/>
      <c r="X39" s="199"/>
      <c r="Y39" s="199"/>
      <c r="Z39" s="199"/>
      <c r="AA39" s="199"/>
      <c r="AB39" s="199"/>
      <c r="AC39" s="205"/>
      <c r="AD39" s="205"/>
      <c r="AE39" s="205"/>
    </row>
    <row r="40">
      <c r="A40" s="199"/>
      <c r="B40" s="222">
        <f t="shared" si="1"/>
        <v>37</v>
      </c>
      <c r="C40" s="232" t="s">
        <v>224</v>
      </c>
      <c r="D40" s="258" t="s">
        <v>234</v>
      </c>
      <c r="E40" s="252" t="s">
        <v>226</v>
      </c>
      <c r="F40" s="255" t="s">
        <v>227</v>
      </c>
      <c r="G40" s="236" t="s">
        <v>298</v>
      </c>
      <c r="H40" s="228" t="s">
        <v>287</v>
      </c>
      <c r="I40" s="235"/>
      <c r="J40" s="229"/>
      <c r="K40" s="78" t="s">
        <v>66</v>
      </c>
      <c r="L40" s="78" t="s">
        <v>42</v>
      </c>
      <c r="M40" s="78" t="s">
        <v>42</v>
      </c>
      <c r="N40" s="78" t="s">
        <v>42</v>
      </c>
      <c r="O40" s="78" t="s">
        <v>42</v>
      </c>
      <c r="P40" s="78" t="s">
        <v>42</v>
      </c>
      <c r="Q40" s="230" t="s">
        <v>254</v>
      </c>
      <c r="R40" s="234"/>
      <c r="S40" s="230"/>
      <c r="T40" s="199"/>
      <c r="U40" s="199"/>
      <c r="V40" s="199"/>
      <c r="W40" s="199"/>
      <c r="X40" s="199"/>
      <c r="Y40" s="199"/>
      <c r="Z40" s="199"/>
      <c r="AA40" s="199"/>
      <c r="AB40" s="199"/>
      <c r="AC40" s="205"/>
      <c r="AD40" s="205"/>
      <c r="AE40" s="205"/>
    </row>
    <row r="41">
      <c r="A41" s="199"/>
      <c r="B41" s="222">
        <f t="shared" si="1"/>
        <v>38</v>
      </c>
      <c r="C41" s="247"/>
      <c r="D41" s="258"/>
      <c r="E41" s="252" t="s">
        <v>228</v>
      </c>
      <c r="F41" s="255" t="s">
        <v>229</v>
      </c>
      <c r="G41" s="236" t="s">
        <v>299</v>
      </c>
      <c r="H41" s="228" t="s">
        <v>289</v>
      </c>
      <c r="I41" s="235"/>
      <c r="J41" s="229"/>
      <c r="K41" s="78" t="s">
        <v>66</v>
      </c>
      <c r="L41" s="78" t="s">
        <v>42</v>
      </c>
      <c r="M41" s="78" t="s">
        <v>42</v>
      </c>
      <c r="N41" s="78" t="s">
        <v>42</v>
      </c>
      <c r="O41" s="78" t="s">
        <v>42</v>
      </c>
      <c r="P41" s="78" t="s">
        <v>42</v>
      </c>
      <c r="Q41" s="230" t="s">
        <v>254</v>
      </c>
      <c r="R41" s="234"/>
      <c r="S41" s="230"/>
      <c r="T41" s="199"/>
      <c r="U41" s="199"/>
      <c r="V41" s="199"/>
      <c r="W41" s="199"/>
      <c r="X41" s="199"/>
      <c r="Y41" s="199"/>
      <c r="Z41" s="199"/>
      <c r="AA41" s="199"/>
      <c r="AB41" s="199"/>
      <c r="AC41" s="205"/>
      <c r="AD41" s="205"/>
      <c r="AE41" s="205"/>
    </row>
    <row r="42">
      <c r="A42" s="199"/>
      <c r="B42" s="222">
        <f t="shared" si="1"/>
        <v>39</v>
      </c>
      <c r="C42" s="247"/>
      <c r="D42" s="258"/>
      <c r="E42" s="252" t="s">
        <v>228</v>
      </c>
      <c r="F42" s="255" t="s">
        <v>230</v>
      </c>
      <c r="G42" s="236" t="s">
        <v>300</v>
      </c>
      <c r="H42" s="228" t="s">
        <v>291</v>
      </c>
      <c r="I42" s="235"/>
      <c r="J42" s="229"/>
      <c r="K42" s="78" t="s">
        <v>66</v>
      </c>
      <c r="L42" s="78" t="s">
        <v>42</v>
      </c>
      <c r="M42" s="78" t="s">
        <v>42</v>
      </c>
      <c r="N42" s="78" t="s">
        <v>42</v>
      </c>
      <c r="O42" s="78" t="s">
        <v>42</v>
      </c>
      <c r="P42" s="78" t="s">
        <v>42</v>
      </c>
      <c r="Q42" s="230" t="s">
        <v>254</v>
      </c>
      <c r="R42" s="234"/>
      <c r="S42" s="230"/>
      <c r="T42" s="199"/>
      <c r="U42" s="199"/>
      <c r="V42" s="199"/>
      <c r="W42" s="199"/>
      <c r="X42" s="199"/>
      <c r="Y42" s="199"/>
      <c r="Z42" s="199"/>
      <c r="AA42" s="199"/>
      <c r="AB42" s="199"/>
      <c r="AC42" s="205"/>
      <c r="AD42" s="205"/>
      <c r="AE42" s="205"/>
    </row>
    <row r="43">
      <c r="A43" s="199"/>
      <c r="B43" s="222">
        <f t="shared" si="1"/>
        <v>40</v>
      </c>
      <c r="C43" s="247"/>
      <c r="D43" s="259"/>
      <c r="E43" s="252" t="s">
        <v>231</v>
      </c>
      <c r="F43" s="255" t="s">
        <v>227</v>
      </c>
      <c r="G43" s="236" t="s">
        <v>301</v>
      </c>
      <c r="H43" s="228" t="s">
        <v>293</v>
      </c>
      <c r="I43" s="235"/>
      <c r="J43" s="229"/>
      <c r="K43" s="78" t="s">
        <v>66</v>
      </c>
      <c r="L43" s="78" t="s">
        <v>42</v>
      </c>
      <c r="M43" s="78" t="s">
        <v>42</v>
      </c>
      <c r="N43" s="78" t="s">
        <v>42</v>
      </c>
      <c r="O43" s="78" t="s">
        <v>42</v>
      </c>
      <c r="P43" s="78" t="s">
        <v>42</v>
      </c>
      <c r="Q43" s="230" t="s">
        <v>254</v>
      </c>
      <c r="R43" s="234"/>
      <c r="S43" s="230"/>
      <c r="T43" s="199"/>
      <c r="U43" s="199"/>
      <c r="V43" s="199"/>
      <c r="W43" s="199"/>
      <c r="X43" s="199"/>
      <c r="Y43" s="199"/>
      <c r="Z43" s="199"/>
      <c r="AA43" s="199"/>
      <c r="AB43" s="199"/>
      <c r="AC43" s="205"/>
      <c r="AD43" s="205"/>
      <c r="AE43" s="205"/>
    </row>
    <row r="44">
      <c r="A44" s="199"/>
      <c r="B44" s="222">
        <f t="shared" si="1"/>
        <v>41</v>
      </c>
      <c r="C44" s="247"/>
      <c r="D44" s="258" t="s">
        <v>235</v>
      </c>
      <c r="E44" s="252" t="s">
        <v>226</v>
      </c>
      <c r="F44" s="255" t="s">
        <v>227</v>
      </c>
      <c r="G44" s="236" t="s">
        <v>302</v>
      </c>
      <c r="H44" s="228" t="s">
        <v>287</v>
      </c>
      <c r="I44" s="235"/>
      <c r="J44" s="229"/>
      <c r="K44" s="78" t="s">
        <v>66</v>
      </c>
      <c r="L44" s="78" t="s">
        <v>42</v>
      </c>
      <c r="M44" s="78" t="s">
        <v>42</v>
      </c>
      <c r="N44" s="78" t="s">
        <v>42</v>
      </c>
      <c r="O44" s="78" t="s">
        <v>42</v>
      </c>
      <c r="P44" s="78" t="s">
        <v>42</v>
      </c>
      <c r="Q44" s="230" t="s">
        <v>254</v>
      </c>
      <c r="R44" s="234"/>
      <c r="S44" s="230"/>
      <c r="T44" s="199"/>
      <c r="U44" s="199"/>
      <c r="V44" s="199"/>
      <c r="W44" s="199"/>
      <c r="X44" s="199"/>
      <c r="Y44" s="199"/>
      <c r="Z44" s="199"/>
      <c r="AA44" s="199"/>
      <c r="AB44" s="199"/>
      <c r="AC44" s="205"/>
      <c r="AD44" s="205"/>
      <c r="AE44" s="205"/>
    </row>
    <row r="45">
      <c r="A45" s="199"/>
      <c r="B45" s="222">
        <f t="shared" si="1"/>
        <v>42</v>
      </c>
      <c r="C45" s="247"/>
      <c r="D45" s="258"/>
      <c r="E45" s="252" t="s">
        <v>228</v>
      </c>
      <c r="F45" s="255" t="s">
        <v>229</v>
      </c>
      <c r="G45" s="236" t="s">
        <v>303</v>
      </c>
      <c r="H45" s="228" t="s">
        <v>289</v>
      </c>
      <c r="I45" s="235"/>
      <c r="J45" s="229"/>
      <c r="K45" s="78" t="s">
        <v>66</v>
      </c>
      <c r="L45" s="78" t="s">
        <v>42</v>
      </c>
      <c r="M45" s="78" t="s">
        <v>42</v>
      </c>
      <c r="N45" s="78" t="s">
        <v>42</v>
      </c>
      <c r="O45" s="78" t="s">
        <v>42</v>
      </c>
      <c r="P45" s="78" t="s">
        <v>42</v>
      </c>
      <c r="Q45" s="230" t="s">
        <v>254</v>
      </c>
      <c r="R45" s="234"/>
      <c r="S45" s="230"/>
      <c r="T45" s="199"/>
      <c r="U45" s="199"/>
      <c r="V45" s="199"/>
      <c r="W45" s="199"/>
      <c r="X45" s="199"/>
      <c r="Y45" s="199"/>
      <c r="Z45" s="199"/>
      <c r="AA45" s="199"/>
      <c r="AB45" s="199"/>
      <c r="AC45" s="205"/>
      <c r="AD45" s="205"/>
      <c r="AE45" s="205"/>
    </row>
    <row r="46">
      <c r="A46" s="199"/>
      <c r="B46" s="222">
        <f t="shared" si="1"/>
        <v>43</v>
      </c>
      <c r="C46" s="247"/>
      <c r="D46" s="258"/>
      <c r="E46" s="252" t="s">
        <v>228</v>
      </c>
      <c r="F46" s="255" t="s">
        <v>230</v>
      </c>
      <c r="G46" s="236" t="s">
        <v>304</v>
      </c>
      <c r="H46" s="228" t="s">
        <v>291</v>
      </c>
      <c r="I46" s="235"/>
      <c r="J46" s="229"/>
      <c r="K46" s="78" t="s">
        <v>66</v>
      </c>
      <c r="L46" s="78" t="s">
        <v>42</v>
      </c>
      <c r="M46" s="78" t="s">
        <v>42</v>
      </c>
      <c r="N46" s="78" t="s">
        <v>42</v>
      </c>
      <c r="O46" s="78" t="s">
        <v>42</v>
      </c>
      <c r="P46" s="78" t="s">
        <v>42</v>
      </c>
      <c r="Q46" s="230" t="s">
        <v>254</v>
      </c>
      <c r="R46" s="234"/>
      <c r="S46" s="230"/>
      <c r="T46" s="199"/>
      <c r="U46" s="199"/>
      <c r="V46" s="199"/>
      <c r="W46" s="199"/>
      <c r="X46" s="199"/>
      <c r="Y46" s="199"/>
      <c r="Z46" s="199"/>
      <c r="AA46" s="199"/>
      <c r="AB46" s="199"/>
      <c r="AC46" s="205"/>
      <c r="AD46" s="205"/>
      <c r="AE46" s="205"/>
    </row>
    <row r="47">
      <c r="A47" s="199"/>
      <c r="B47" s="222">
        <f t="shared" si="1"/>
        <v>44</v>
      </c>
      <c r="C47" s="247"/>
      <c r="D47" s="259"/>
      <c r="E47" s="252" t="s">
        <v>231</v>
      </c>
      <c r="F47" s="255" t="s">
        <v>227</v>
      </c>
      <c r="G47" s="236" t="s">
        <v>305</v>
      </c>
      <c r="H47" s="228" t="s">
        <v>293</v>
      </c>
      <c r="I47" s="235"/>
      <c r="J47" s="229"/>
      <c r="K47" s="78" t="s">
        <v>66</v>
      </c>
      <c r="L47" s="78" t="s">
        <v>42</v>
      </c>
      <c r="M47" s="78" t="s">
        <v>42</v>
      </c>
      <c r="N47" s="78" t="s">
        <v>42</v>
      </c>
      <c r="O47" s="78" t="s">
        <v>42</v>
      </c>
      <c r="P47" s="78" t="s">
        <v>42</v>
      </c>
      <c r="Q47" s="230" t="s">
        <v>254</v>
      </c>
      <c r="R47" s="234"/>
      <c r="S47" s="230"/>
      <c r="T47" s="199"/>
      <c r="U47" s="199"/>
      <c r="V47" s="199"/>
      <c r="W47" s="199"/>
      <c r="X47" s="199"/>
      <c r="Y47" s="199"/>
      <c r="Z47" s="199"/>
      <c r="AA47" s="199"/>
      <c r="AB47" s="199"/>
      <c r="AC47" s="205"/>
      <c r="AD47" s="205"/>
      <c r="AE47" s="205"/>
    </row>
    <row r="48">
      <c r="A48" s="199"/>
      <c r="B48" s="222">
        <f t="shared" si="1"/>
        <v>45</v>
      </c>
      <c r="C48" s="232" t="s">
        <v>224</v>
      </c>
      <c r="D48" s="258" t="s">
        <v>236</v>
      </c>
      <c r="E48" s="252" t="s">
        <v>226</v>
      </c>
      <c r="F48" s="255" t="s">
        <v>227</v>
      </c>
      <c r="G48" s="236" t="s">
        <v>306</v>
      </c>
      <c r="H48" s="228" t="s">
        <v>287</v>
      </c>
      <c r="I48" s="235"/>
      <c r="J48" s="229"/>
      <c r="K48" s="78" t="s">
        <v>66</v>
      </c>
      <c r="L48" s="78" t="s">
        <v>42</v>
      </c>
      <c r="M48" s="78" t="s">
        <v>42</v>
      </c>
      <c r="N48" s="78" t="s">
        <v>42</v>
      </c>
      <c r="O48" s="78" t="s">
        <v>42</v>
      </c>
      <c r="P48" s="78" t="s">
        <v>42</v>
      </c>
      <c r="Q48" s="230" t="s">
        <v>254</v>
      </c>
      <c r="R48" s="234"/>
      <c r="S48" s="230"/>
      <c r="T48" s="199"/>
      <c r="U48" s="199"/>
      <c r="V48" s="199"/>
      <c r="W48" s="199"/>
      <c r="X48" s="199"/>
      <c r="Y48" s="199"/>
      <c r="Z48" s="199"/>
      <c r="AA48" s="199"/>
      <c r="AB48" s="199"/>
      <c r="AC48" s="205"/>
      <c r="AD48" s="205"/>
      <c r="AE48" s="205"/>
    </row>
    <row r="49">
      <c r="A49" s="199"/>
      <c r="B49" s="222">
        <f t="shared" si="1"/>
        <v>46</v>
      </c>
      <c r="C49" s="247"/>
      <c r="D49" s="258"/>
      <c r="E49" s="252" t="s">
        <v>228</v>
      </c>
      <c r="F49" s="255" t="s">
        <v>229</v>
      </c>
      <c r="G49" s="236" t="s">
        <v>307</v>
      </c>
      <c r="H49" s="228" t="s">
        <v>289</v>
      </c>
      <c r="I49" s="235"/>
      <c r="J49" s="229"/>
      <c r="K49" s="78" t="s">
        <v>66</v>
      </c>
      <c r="L49" s="78" t="s">
        <v>42</v>
      </c>
      <c r="M49" s="78" t="s">
        <v>42</v>
      </c>
      <c r="N49" s="78" t="s">
        <v>42</v>
      </c>
      <c r="O49" s="78" t="s">
        <v>42</v>
      </c>
      <c r="P49" s="78" t="s">
        <v>42</v>
      </c>
      <c r="Q49" s="230" t="s">
        <v>254</v>
      </c>
      <c r="R49" s="234"/>
      <c r="S49" s="230"/>
      <c r="T49" s="199"/>
      <c r="U49" s="199"/>
      <c r="V49" s="199"/>
      <c r="W49" s="199"/>
      <c r="X49" s="199"/>
      <c r="Y49" s="199"/>
      <c r="Z49" s="199"/>
      <c r="AA49" s="199"/>
      <c r="AB49" s="199"/>
      <c r="AC49" s="205"/>
      <c r="AD49" s="205"/>
      <c r="AE49" s="205"/>
    </row>
    <row r="50">
      <c r="A50" s="199"/>
      <c r="B50" s="222">
        <f t="shared" si="1"/>
        <v>47</v>
      </c>
      <c r="C50" s="247"/>
      <c r="D50" s="258"/>
      <c r="E50" s="252" t="s">
        <v>228</v>
      </c>
      <c r="F50" s="255" t="s">
        <v>230</v>
      </c>
      <c r="G50" s="236" t="s">
        <v>308</v>
      </c>
      <c r="H50" s="228" t="s">
        <v>291</v>
      </c>
      <c r="I50" s="235"/>
      <c r="J50" s="229"/>
      <c r="K50" s="78" t="s">
        <v>66</v>
      </c>
      <c r="L50" s="78" t="s">
        <v>42</v>
      </c>
      <c r="M50" s="78" t="s">
        <v>42</v>
      </c>
      <c r="N50" s="78" t="s">
        <v>42</v>
      </c>
      <c r="O50" s="78" t="s">
        <v>42</v>
      </c>
      <c r="P50" s="78" t="s">
        <v>42</v>
      </c>
      <c r="Q50" s="230" t="s">
        <v>254</v>
      </c>
      <c r="R50" s="234"/>
      <c r="S50" s="230"/>
      <c r="T50" s="199"/>
      <c r="U50" s="199"/>
      <c r="V50" s="199"/>
      <c r="W50" s="199"/>
      <c r="X50" s="199"/>
      <c r="Y50" s="199"/>
      <c r="Z50" s="199"/>
      <c r="AA50" s="199"/>
      <c r="AB50" s="199"/>
      <c r="AC50" s="205"/>
      <c r="AD50" s="205"/>
      <c r="AE50" s="205"/>
    </row>
    <row r="51">
      <c r="A51" s="199"/>
      <c r="B51" s="222">
        <f t="shared" si="1"/>
        <v>48</v>
      </c>
      <c r="C51" s="247"/>
      <c r="D51" s="259"/>
      <c r="E51" s="252" t="s">
        <v>231</v>
      </c>
      <c r="F51" s="255" t="s">
        <v>227</v>
      </c>
      <c r="G51" s="236" t="s">
        <v>309</v>
      </c>
      <c r="H51" s="228" t="s">
        <v>293</v>
      </c>
      <c r="I51" s="235"/>
      <c r="J51" s="229"/>
      <c r="K51" s="78" t="s">
        <v>66</v>
      </c>
      <c r="L51" s="78" t="s">
        <v>42</v>
      </c>
      <c r="M51" s="78" t="s">
        <v>42</v>
      </c>
      <c r="N51" s="78" t="s">
        <v>42</v>
      </c>
      <c r="O51" s="78" t="s">
        <v>42</v>
      </c>
      <c r="P51" s="78" t="s">
        <v>42</v>
      </c>
      <c r="Q51" s="230" t="s">
        <v>254</v>
      </c>
      <c r="R51" s="234"/>
      <c r="S51" s="230"/>
      <c r="T51" s="199"/>
      <c r="U51" s="199"/>
      <c r="V51" s="199"/>
      <c r="W51" s="199"/>
      <c r="X51" s="199"/>
      <c r="Y51" s="199"/>
      <c r="Z51" s="199"/>
      <c r="AA51" s="199"/>
      <c r="AB51" s="199"/>
      <c r="AC51" s="205"/>
      <c r="AD51" s="205"/>
      <c r="AE51" s="205"/>
    </row>
    <row r="52">
      <c r="A52" s="199"/>
      <c r="B52" s="222">
        <f t="shared" si="1"/>
        <v>49</v>
      </c>
      <c r="C52" s="247"/>
      <c r="D52" s="258" t="s">
        <v>237</v>
      </c>
      <c r="E52" s="252" t="s">
        <v>226</v>
      </c>
      <c r="F52" s="255" t="s">
        <v>227</v>
      </c>
      <c r="G52" s="236" t="s">
        <v>310</v>
      </c>
      <c r="H52" s="228" t="s">
        <v>287</v>
      </c>
      <c r="I52" s="235"/>
      <c r="J52" s="229"/>
      <c r="K52" s="78" t="s">
        <v>66</v>
      </c>
      <c r="L52" s="78" t="s">
        <v>42</v>
      </c>
      <c r="M52" s="78" t="s">
        <v>42</v>
      </c>
      <c r="N52" s="78" t="s">
        <v>42</v>
      </c>
      <c r="O52" s="78" t="s">
        <v>42</v>
      </c>
      <c r="P52" s="78" t="s">
        <v>42</v>
      </c>
      <c r="Q52" s="230" t="s">
        <v>254</v>
      </c>
      <c r="R52" s="234"/>
      <c r="S52" s="230"/>
      <c r="T52" s="199"/>
      <c r="U52" s="199"/>
      <c r="V52" s="199"/>
      <c r="W52" s="199"/>
      <c r="X52" s="199"/>
      <c r="Y52" s="199"/>
      <c r="Z52" s="199"/>
      <c r="AA52" s="199"/>
      <c r="AB52" s="199"/>
      <c r="AC52" s="205"/>
      <c r="AD52" s="205"/>
      <c r="AE52" s="205"/>
    </row>
    <row r="53">
      <c r="A53" s="199"/>
      <c r="B53" s="222">
        <f t="shared" si="1"/>
        <v>50</v>
      </c>
      <c r="C53" s="247"/>
      <c r="D53" s="258"/>
      <c r="E53" s="252" t="s">
        <v>228</v>
      </c>
      <c r="F53" s="255" t="s">
        <v>229</v>
      </c>
      <c r="G53" s="236" t="s">
        <v>311</v>
      </c>
      <c r="H53" s="228" t="s">
        <v>289</v>
      </c>
      <c r="I53" s="235"/>
      <c r="J53" s="229"/>
      <c r="K53" s="78" t="s">
        <v>66</v>
      </c>
      <c r="L53" s="78" t="s">
        <v>42</v>
      </c>
      <c r="M53" s="78" t="s">
        <v>42</v>
      </c>
      <c r="N53" s="78" t="s">
        <v>42</v>
      </c>
      <c r="O53" s="78" t="s">
        <v>42</v>
      </c>
      <c r="P53" s="78" t="s">
        <v>42</v>
      </c>
      <c r="Q53" s="230" t="s">
        <v>254</v>
      </c>
      <c r="R53" s="234"/>
      <c r="S53" s="230"/>
      <c r="T53" s="199"/>
      <c r="U53" s="199"/>
      <c r="V53" s="199"/>
      <c r="W53" s="199"/>
      <c r="X53" s="199"/>
      <c r="Y53" s="199"/>
      <c r="Z53" s="199"/>
      <c r="AA53" s="199"/>
      <c r="AB53" s="199"/>
      <c r="AC53" s="205"/>
      <c r="AD53" s="205"/>
      <c r="AE53" s="205"/>
    </row>
    <row r="54">
      <c r="A54" s="199"/>
      <c r="B54" s="222">
        <f t="shared" si="1"/>
        <v>51</v>
      </c>
      <c r="C54" s="247"/>
      <c r="D54" s="258"/>
      <c r="E54" s="252" t="s">
        <v>228</v>
      </c>
      <c r="F54" s="255" t="s">
        <v>230</v>
      </c>
      <c r="G54" s="236" t="s">
        <v>312</v>
      </c>
      <c r="H54" s="228" t="s">
        <v>291</v>
      </c>
      <c r="I54" s="235"/>
      <c r="J54" s="229"/>
      <c r="K54" s="78" t="s">
        <v>66</v>
      </c>
      <c r="L54" s="78" t="s">
        <v>42</v>
      </c>
      <c r="M54" s="78" t="s">
        <v>42</v>
      </c>
      <c r="N54" s="78" t="s">
        <v>42</v>
      </c>
      <c r="O54" s="78" t="s">
        <v>42</v>
      </c>
      <c r="P54" s="78" t="s">
        <v>42</v>
      </c>
      <c r="Q54" s="230" t="s">
        <v>254</v>
      </c>
      <c r="R54" s="234"/>
      <c r="S54" s="230"/>
      <c r="T54" s="199"/>
      <c r="U54" s="199"/>
      <c r="V54" s="199"/>
      <c r="W54" s="199"/>
      <c r="X54" s="199"/>
      <c r="Y54" s="199"/>
      <c r="Z54" s="199"/>
      <c r="AA54" s="199"/>
      <c r="AB54" s="199"/>
      <c r="AC54" s="205"/>
      <c r="AD54" s="205"/>
      <c r="AE54" s="205"/>
    </row>
    <row r="55">
      <c r="A55" s="199"/>
      <c r="B55" s="222">
        <f t="shared" si="1"/>
        <v>52</v>
      </c>
      <c r="C55" s="260"/>
      <c r="D55" s="259"/>
      <c r="E55" s="252" t="s">
        <v>231</v>
      </c>
      <c r="F55" s="255" t="s">
        <v>227</v>
      </c>
      <c r="G55" s="236" t="s">
        <v>313</v>
      </c>
      <c r="H55" s="228" t="s">
        <v>293</v>
      </c>
      <c r="I55" s="235"/>
      <c r="J55" s="229"/>
      <c r="K55" s="78" t="s">
        <v>66</v>
      </c>
      <c r="L55" s="78" t="s">
        <v>42</v>
      </c>
      <c r="M55" s="78" t="s">
        <v>42</v>
      </c>
      <c r="N55" s="78" t="s">
        <v>42</v>
      </c>
      <c r="O55" s="78" t="s">
        <v>42</v>
      </c>
      <c r="P55" s="78" t="s">
        <v>42</v>
      </c>
      <c r="Q55" s="230" t="s">
        <v>254</v>
      </c>
      <c r="R55" s="234"/>
      <c r="S55" s="230"/>
      <c r="T55" s="199"/>
      <c r="U55" s="199"/>
      <c r="V55" s="199"/>
      <c r="W55" s="199"/>
      <c r="X55" s="199"/>
      <c r="Y55" s="199"/>
      <c r="Z55" s="199"/>
      <c r="AA55" s="199"/>
      <c r="AB55" s="199"/>
      <c r="AC55" s="205"/>
      <c r="AD55" s="205"/>
      <c r="AE55" s="205"/>
    </row>
    <row r="56">
      <c r="A56" s="261"/>
      <c r="B56" s="261"/>
      <c r="C56" s="262"/>
      <c r="D56" s="263"/>
      <c r="E56" s="262"/>
      <c r="F56" s="262"/>
      <c r="G56" s="262"/>
      <c r="H56" s="262"/>
      <c r="I56" s="262"/>
      <c r="J56" s="261"/>
      <c r="K56" s="261"/>
      <c r="L56" s="261"/>
      <c r="M56" s="261"/>
      <c r="N56" s="261"/>
      <c r="O56" s="261"/>
      <c r="P56" s="261"/>
      <c r="Q56" s="261"/>
      <c r="R56" s="261"/>
      <c r="S56" s="261"/>
      <c r="T56" s="261"/>
      <c r="U56" s="261"/>
      <c r="V56" s="261"/>
      <c r="W56" s="261"/>
      <c r="X56" s="261"/>
      <c r="Y56" s="261"/>
      <c r="Z56" s="261"/>
      <c r="AA56" s="261"/>
      <c r="AB56" s="261"/>
      <c r="AC56" s="261"/>
      <c r="AD56" s="261"/>
      <c r="AE56" s="261"/>
    </row>
    <row r="57">
      <c r="A57" s="261"/>
      <c r="B57" s="261"/>
      <c r="C57" s="262"/>
      <c r="D57" s="264"/>
      <c r="E57" s="262"/>
      <c r="F57" s="262"/>
      <c r="G57" s="262"/>
      <c r="H57" s="262"/>
      <c r="I57" s="262"/>
      <c r="J57" s="261"/>
      <c r="K57" s="261"/>
      <c r="L57" s="261"/>
      <c r="M57" s="261"/>
      <c r="N57" s="261"/>
      <c r="O57" s="261"/>
      <c r="P57" s="261"/>
      <c r="Q57" s="261"/>
      <c r="R57" s="261"/>
      <c r="S57" s="261"/>
      <c r="T57" s="261"/>
      <c r="U57" s="261"/>
      <c r="V57" s="261"/>
      <c r="W57" s="261"/>
      <c r="X57" s="261"/>
      <c r="Y57" s="261"/>
      <c r="Z57" s="261"/>
      <c r="AA57" s="261"/>
      <c r="AB57" s="261"/>
      <c r="AC57" s="261"/>
      <c r="AD57" s="261"/>
      <c r="AE57" s="261"/>
    </row>
    <row r="58">
      <c r="A58" s="261"/>
      <c r="B58" s="261"/>
      <c r="C58" s="262"/>
      <c r="D58" s="264"/>
      <c r="E58" s="262"/>
      <c r="F58" s="262"/>
      <c r="G58" s="262"/>
      <c r="H58" s="262"/>
      <c r="I58" s="262"/>
      <c r="J58" s="261"/>
      <c r="K58" s="261"/>
      <c r="L58" s="261"/>
      <c r="M58" s="261"/>
      <c r="N58" s="261"/>
      <c r="O58" s="261"/>
      <c r="P58" s="261"/>
      <c r="Q58" s="261"/>
      <c r="R58" s="261"/>
      <c r="S58" s="261"/>
      <c r="T58" s="261"/>
      <c r="U58" s="261"/>
      <c r="V58" s="261"/>
      <c r="W58" s="261"/>
      <c r="X58" s="261"/>
      <c r="Y58" s="261"/>
      <c r="Z58" s="261"/>
      <c r="AA58" s="261"/>
      <c r="AB58" s="261"/>
      <c r="AC58" s="261"/>
      <c r="AD58" s="261"/>
      <c r="AE58" s="261"/>
    </row>
    <row r="59">
      <c r="A59" s="261"/>
      <c r="B59" s="261"/>
      <c r="C59" s="262"/>
      <c r="D59" s="262"/>
      <c r="E59" s="262"/>
      <c r="F59" s="262"/>
      <c r="G59" s="262"/>
      <c r="H59" s="262"/>
      <c r="I59" s="262"/>
      <c r="J59" s="261"/>
      <c r="K59" s="261"/>
      <c r="L59" s="261"/>
      <c r="M59" s="261"/>
      <c r="N59" s="261"/>
      <c r="O59" s="261"/>
      <c r="P59" s="261"/>
      <c r="Q59" s="261"/>
      <c r="R59" s="261"/>
      <c r="S59" s="261"/>
      <c r="T59" s="261"/>
      <c r="U59" s="261"/>
      <c r="V59" s="261"/>
      <c r="W59" s="261"/>
      <c r="X59" s="261"/>
      <c r="Y59" s="261"/>
      <c r="Z59" s="261"/>
      <c r="AA59" s="261"/>
      <c r="AB59" s="261"/>
      <c r="AC59" s="261"/>
      <c r="AD59" s="261"/>
      <c r="AE59" s="261"/>
    </row>
    <row r="60">
      <c r="A60" s="261"/>
      <c r="B60" s="261"/>
      <c r="C60" s="265"/>
      <c r="D60" s="262"/>
      <c r="E60" s="262"/>
      <c r="F60" s="262"/>
      <c r="G60" s="262"/>
      <c r="H60" s="262"/>
      <c r="I60" s="262"/>
      <c r="J60" s="261"/>
      <c r="K60" s="261"/>
      <c r="L60" s="261"/>
      <c r="M60" s="261"/>
      <c r="N60" s="261"/>
      <c r="O60" s="261"/>
      <c r="P60" s="261"/>
      <c r="Q60" s="261"/>
      <c r="R60" s="261"/>
      <c r="S60" s="261"/>
      <c r="T60" s="261"/>
      <c r="U60" s="261"/>
      <c r="V60" s="261"/>
      <c r="W60" s="261"/>
      <c r="X60" s="261"/>
      <c r="Y60" s="261"/>
      <c r="Z60" s="261"/>
      <c r="AA60" s="261"/>
      <c r="AB60" s="261"/>
      <c r="AC60" s="261"/>
      <c r="AD60" s="261"/>
      <c r="AE60" s="261"/>
    </row>
    <row r="61">
      <c r="A61" s="261"/>
      <c r="B61" s="261"/>
      <c r="C61" s="265"/>
      <c r="D61" s="262"/>
      <c r="E61" s="262"/>
      <c r="F61" s="262"/>
      <c r="G61" s="262"/>
      <c r="H61" s="262"/>
      <c r="I61" s="262"/>
      <c r="J61" s="261"/>
      <c r="K61" s="261"/>
      <c r="L61" s="261"/>
      <c r="M61" s="261"/>
      <c r="N61" s="261"/>
      <c r="O61" s="261"/>
      <c r="P61" s="261"/>
      <c r="Q61" s="261"/>
      <c r="R61" s="261"/>
      <c r="S61" s="261"/>
      <c r="T61" s="261"/>
      <c r="U61" s="261"/>
      <c r="V61" s="261"/>
      <c r="W61" s="261"/>
      <c r="X61" s="261"/>
      <c r="Y61" s="261"/>
      <c r="Z61" s="261"/>
      <c r="AA61" s="261"/>
      <c r="AB61" s="261"/>
      <c r="AC61" s="261"/>
      <c r="AD61" s="261"/>
      <c r="AE61" s="261"/>
    </row>
    <row r="62">
      <c r="A62" s="261"/>
      <c r="B62" s="261"/>
      <c r="C62" s="265"/>
      <c r="D62" s="262"/>
      <c r="E62" s="262"/>
      <c r="F62" s="262"/>
      <c r="G62" s="262"/>
      <c r="H62" s="262"/>
      <c r="I62" s="262"/>
      <c r="J62" s="261"/>
      <c r="K62" s="261"/>
      <c r="L62" s="261"/>
      <c r="M62" s="261"/>
      <c r="N62" s="261"/>
      <c r="O62" s="261"/>
      <c r="P62" s="261"/>
      <c r="Q62" s="261"/>
      <c r="R62" s="261"/>
      <c r="S62" s="261"/>
      <c r="T62" s="261"/>
      <c r="U62" s="261"/>
      <c r="V62" s="261"/>
      <c r="W62" s="261"/>
      <c r="X62" s="261"/>
      <c r="Y62" s="261"/>
      <c r="Z62" s="261"/>
      <c r="AA62" s="261"/>
      <c r="AB62" s="261"/>
      <c r="AC62" s="261"/>
      <c r="AD62" s="261"/>
      <c r="AE62" s="261"/>
    </row>
    <row r="63">
      <c r="A63" s="261"/>
      <c r="B63" s="261"/>
      <c r="C63" s="262"/>
      <c r="D63" s="262"/>
      <c r="E63" s="262"/>
      <c r="F63" s="262"/>
      <c r="G63" s="262"/>
      <c r="H63" s="262"/>
      <c r="I63" s="262"/>
      <c r="J63" s="261"/>
      <c r="K63" s="261"/>
      <c r="L63" s="261"/>
      <c r="M63" s="261"/>
      <c r="N63" s="261"/>
      <c r="O63" s="261"/>
      <c r="P63" s="261"/>
      <c r="Q63" s="261"/>
      <c r="R63" s="261"/>
      <c r="S63" s="261"/>
      <c r="T63" s="261"/>
      <c r="U63" s="261"/>
      <c r="V63" s="261"/>
      <c r="W63" s="261"/>
      <c r="X63" s="261"/>
      <c r="Y63" s="261"/>
      <c r="Z63" s="261"/>
      <c r="AA63" s="261"/>
      <c r="AB63" s="261"/>
      <c r="AC63" s="261"/>
      <c r="AD63" s="261"/>
      <c r="AE63" s="261"/>
    </row>
    <row r="64">
      <c r="A64" s="261"/>
      <c r="B64" s="261"/>
      <c r="C64" s="265"/>
      <c r="D64" s="262"/>
      <c r="E64" s="262"/>
      <c r="F64" s="262"/>
      <c r="G64" s="262"/>
      <c r="H64" s="262"/>
      <c r="I64" s="262"/>
      <c r="J64" s="261"/>
      <c r="K64" s="261"/>
      <c r="L64" s="261"/>
      <c r="M64" s="261"/>
      <c r="N64" s="261"/>
      <c r="O64" s="261"/>
      <c r="P64" s="261"/>
      <c r="Q64" s="261"/>
      <c r="R64" s="261"/>
      <c r="S64" s="261"/>
      <c r="T64" s="261"/>
      <c r="U64" s="261"/>
      <c r="V64" s="261"/>
      <c r="W64" s="261"/>
      <c r="X64" s="261"/>
      <c r="Y64" s="261"/>
      <c r="Z64" s="261"/>
      <c r="AA64" s="261"/>
      <c r="AB64" s="261"/>
      <c r="AC64" s="261"/>
      <c r="AD64" s="261"/>
      <c r="AE64" s="261"/>
    </row>
  </sheetData>
  <dataValidations>
    <dataValidation type="list" allowBlank="1" sqref="K4:P55">
      <formula1>"未,OK,NG,Block,保,外,-,Autify実行"</formula1>
    </dataValidation>
    <dataValidation type="list" allowBlank="1" showErrorMessage="1" sqref="J4:J55">
      <formula1>"〇"</formula1>
    </dataValidation>
  </dataValidations>
  <hyperlinks>
    <hyperlink display="承認者追加時のメアド非表示&#10;※開発にこちらの非表示設定を依頼したうえで確認" location="'観点 '!Q36" ref="C4"/>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66"/>
      <c r="C1" s="266"/>
      <c r="D1" s="266"/>
    </row>
    <row r="2">
      <c r="B2" s="267" t="s">
        <v>314</v>
      </c>
      <c r="C2" s="266"/>
      <c r="D2" s="266"/>
      <c r="O2" s="268"/>
    </row>
    <row r="3">
      <c r="B3" s="266"/>
      <c r="C3" s="266"/>
      <c r="D3" s="266"/>
      <c r="O3" s="269" t="s">
        <v>315</v>
      </c>
      <c r="P3" s="270" t="s">
        <v>316</v>
      </c>
      <c r="R3" s="270" t="s">
        <v>317</v>
      </c>
      <c r="S3" s="270" t="s">
        <v>318</v>
      </c>
    </row>
    <row r="4">
      <c r="B4" s="266"/>
      <c r="C4" s="266"/>
      <c r="D4" s="266"/>
      <c r="E4" s="271" t="s">
        <v>64</v>
      </c>
      <c r="F4" s="271" t="s">
        <v>68</v>
      </c>
      <c r="G4" s="271" t="s">
        <v>72</v>
      </c>
      <c r="H4" s="271" t="s">
        <v>70</v>
      </c>
      <c r="I4" s="271" t="s">
        <v>66</v>
      </c>
      <c r="J4" s="271" t="s">
        <v>77</v>
      </c>
      <c r="K4" s="271" t="s">
        <v>74</v>
      </c>
      <c r="L4" s="271" t="s">
        <v>42</v>
      </c>
      <c r="O4" s="272">
        <f>SUM(E12:H13)</f>
        <v>0</v>
      </c>
      <c r="P4" s="273">
        <f>SUM(E13:K13)</f>
        <v>70</v>
      </c>
      <c r="R4" s="274">
        <v>0.0</v>
      </c>
      <c r="S4" s="275">
        <f>R4/P4</f>
        <v>0</v>
      </c>
    </row>
    <row r="5">
      <c r="B5" s="276" t="s">
        <v>319</v>
      </c>
      <c r="C5" s="277" t="s">
        <v>238</v>
      </c>
      <c r="D5" s="278" t="s">
        <v>112</v>
      </c>
      <c r="E5" s="279">
        <f>countif('テストケース'!$K:$K,E4)</f>
        <v>0</v>
      </c>
      <c r="F5" s="279">
        <f>countif('テストケース'!$K:$K,F4)</f>
        <v>0</v>
      </c>
      <c r="G5" s="279">
        <f>countif('テストケース'!$K:$K,G4)</f>
        <v>0</v>
      </c>
      <c r="H5" s="279">
        <f>countif('テストケース'!$K:$K,H4)</f>
        <v>0</v>
      </c>
      <c r="I5" s="279">
        <f>countif('テストケース'!$K:$K,I4)</f>
        <v>52</v>
      </c>
      <c r="J5" s="279">
        <f>countif('テストケース'!$K:$K,J4)</f>
        <v>0</v>
      </c>
      <c r="K5" s="279">
        <f>countif('テストケース'!$K:$K,K4)</f>
        <v>0</v>
      </c>
      <c r="L5" s="279">
        <f>countif('テストケース'!$K:$K,L4)</f>
        <v>0</v>
      </c>
      <c r="R5" s="280"/>
      <c r="S5" s="280" t="s">
        <v>320</v>
      </c>
    </row>
    <row r="6">
      <c r="B6" s="281"/>
      <c r="C6" s="282" t="s">
        <v>239</v>
      </c>
      <c r="D6" s="283" t="s">
        <v>122</v>
      </c>
      <c r="E6" s="279">
        <f>COUNTIF('テストケース'!$L:$L,E4)</f>
        <v>0</v>
      </c>
      <c r="F6" s="279">
        <f>COUNTIF('テストケース'!$L:$L,F4)</f>
        <v>0</v>
      </c>
      <c r="G6" s="279">
        <f>COUNTIF('テストケース'!$L:$L,G4)</f>
        <v>0</v>
      </c>
      <c r="H6" s="279">
        <f>COUNTIF('テストケース'!$L:$L,H4)</f>
        <v>0</v>
      </c>
      <c r="I6" s="279">
        <f>COUNTIF('テストケース'!$L:$L,I4)</f>
        <v>6</v>
      </c>
      <c r="J6" s="279">
        <f>COUNTIF('テストケース'!$L:$L,J4)</f>
        <v>0</v>
      </c>
      <c r="K6" s="279">
        <f>COUNTIF('テストケース'!$L:$L,K4)</f>
        <v>0</v>
      </c>
      <c r="L6" s="279">
        <f>COUNTIF('テストケース'!$L:$L,L4)</f>
        <v>46</v>
      </c>
    </row>
    <row r="7">
      <c r="B7" s="281"/>
      <c r="C7" s="283" t="s">
        <v>240</v>
      </c>
      <c r="D7" s="283" t="s">
        <v>126</v>
      </c>
      <c r="E7" s="279">
        <f>countif('テストケース'!$M:$M,E4)</f>
        <v>0</v>
      </c>
      <c r="F7" s="279">
        <f>countif('テストケース'!$M:$M,F4)</f>
        <v>0</v>
      </c>
      <c r="G7" s="279">
        <f>countif('テストケース'!$M:$M,G4)</f>
        <v>0</v>
      </c>
      <c r="H7" s="279">
        <f>countif('テストケース'!$M:$M,H4)</f>
        <v>0</v>
      </c>
      <c r="I7" s="279">
        <f>countif('テストケース'!$M:$M,I4)</f>
        <v>6</v>
      </c>
      <c r="J7" s="279">
        <f>countif('テストケース'!$M:$M,J4)</f>
        <v>0</v>
      </c>
      <c r="K7" s="279">
        <f>countif('テストケース'!$M:$M,K4)</f>
        <v>0</v>
      </c>
      <c r="L7" s="279">
        <f>countif('テストケース'!$M:$M,L4)</f>
        <v>46</v>
      </c>
    </row>
    <row r="8">
      <c r="B8" s="281"/>
      <c r="C8" s="283" t="s">
        <v>321</v>
      </c>
      <c r="D8" s="283" t="s">
        <v>131</v>
      </c>
      <c r="E8" s="279">
        <f>COUNTIF('テストケース'!$N:$N,E4)</f>
        <v>0</v>
      </c>
      <c r="F8" s="279">
        <f>COUNTIF('テストケース'!$N:$N,F4)</f>
        <v>0</v>
      </c>
      <c r="G8" s="279">
        <f>COUNTIF('テストケース'!$N:$N,G4)</f>
        <v>0</v>
      </c>
      <c r="H8" s="279">
        <f>COUNTIF('テストケース'!$N:$N,H4)</f>
        <v>0</v>
      </c>
      <c r="I8" s="279">
        <f>COUNTIF('テストケース'!$N:$N,I4)</f>
        <v>6</v>
      </c>
      <c r="J8" s="279">
        <f>COUNTIF('テストケース'!$N:$N,J4)</f>
        <v>0</v>
      </c>
      <c r="K8" s="279">
        <f>COUNTIF('テストケース'!$N:$N,K4)</f>
        <v>0</v>
      </c>
      <c r="L8" s="279">
        <f>COUNTIF('テストケース'!$N:$N,L4)</f>
        <v>46</v>
      </c>
    </row>
    <row r="9">
      <c r="B9" s="281"/>
      <c r="C9" s="283" t="s">
        <v>322</v>
      </c>
      <c r="D9" s="283" t="s">
        <v>112</v>
      </c>
      <c r="E9" s="279">
        <f>COUNTIF('テストケース'!$O:$O,E4)</f>
        <v>0</v>
      </c>
      <c r="F9" s="279">
        <f>COUNTIF('テストケース'!$O:$O,F4)</f>
        <v>0</v>
      </c>
      <c r="G9" s="279">
        <f>COUNTIF('テストケース'!$O:$O,G4)</f>
        <v>0</v>
      </c>
      <c r="H9" s="279">
        <f>COUNTIF('テストケース'!$O:$O,H4)</f>
        <v>0</v>
      </c>
      <c r="I9" s="279">
        <f>COUNTIF('テストケース'!$O:$O,I4)</f>
        <v>0</v>
      </c>
      <c r="J9" s="279">
        <f>COUNTIF('テストケース'!$O:$O,J4)</f>
        <v>0</v>
      </c>
      <c r="K9" s="279">
        <f>COUNTIF('テストケース'!$O:$O,K4)</f>
        <v>0</v>
      </c>
      <c r="L9" s="279">
        <f>COUNTIF('テストケース'!$O:$O,L4)</f>
        <v>52</v>
      </c>
    </row>
    <row r="10">
      <c r="B10" s="284"/>
      <c r="C10" s="283" t="s">
        <v>323</v>
      </c>
      <c r="D10" s="283" t="s">
        <v>112</v>
      </c>
      <c r="E10" s="279">
        <f>COUNTIF('テストケース'!$P:$P,E4)</f>
        <v>0</v>
      </c>
      <c r="F10" s="279">
        <f>COUNTIF('テストケース'!$P:$P,F4)</f>
        <v>0</v>
      </c>
      <c r="G10" s="279">
        <f>COUNTIF('テストケース'!$P:$P,G4)</f>
        <v>0</v>
      </c>
      <c r="H10" s="279">
        <f>COUNTIF('テストケース'!$P:$P,H4)</f>
        <v>0</v>
      </c>
      <c r="I10" s="279">
        <f>COUNTIF('テストケース'!$P:$P,I4)</f>
        <v>0</v>
      </c>
      <c r="J10" s="279">
        <f>COUNTIF('テストケース'!$P:$P,J4)</f>
        <v>0</v>
      </c>
      <c r="K10" s="279">
        <f>COUNTIF('テストケース'!$P:$P,K4)</f>
        <v>0</v>
      </c>
      <c r="L10" s="279">
        <f>COUNTIF('テストケース'!$P:$P,L4)</f>
        <v>52</v>
      </c>
    </row>
    <row r="11" hidden="1">
      <c r="B11" s="285" t="s">
        <v>324</v>
      </c>
      <c r="C11" s="283" t="s">
        <v>238</v>
      </c>
      <c r="D11" s="278" t="s">
        <v>112</v>
      </c>
      <c r="E11" s="279" t="str">
        <f t="shared" ref="E11:L11" si="1">COUNTIF('テスト②'!$F:$N,E4)</f>
        <v>#REF!</v>
      </c>
      <c r="F11" s="279" t="str">
        <f t="shared" si="1"/>
        <v>#REF!</v>
      </c>
      <c r="G11" s="279" t="str">
        <f t="shared" si="1"/>
        <v>#REF!</v>
      </c>
      <c r="H11" s="279" t="str">
        <f t="shared" si="1"/>
        <v>#REF!</v>
      </c>
      <c r="I11" s="279" t="str">
        <f t="shared" si="1"/>
        <v>#REF!</v>
      </c>
      <c r="J11" s="279" t="str">
        <f t="shared" si="1"/>
        <v>#REF!</v>
      </c>
      <c r="K11" s="279" t="str">
        <f t="shared" si="1"/>
        <v>#REF!</v>
      </c>
      <c r="L11" s="279" t="str">
        <f t="shared" si="1"/>
        <v>#REF!</v>
      </c>
    </row>
    <row r="12" ht="6.75" customHeight="1">
      <c r="B12" s="266"/>
      <c r="C12" s="266"/>
      <c r="D12" s="266"/>
    </row>
    <row r="13">
      <c r="B13" s="266"/>
      <c r="C13" s="266"/>
      <c r="D13" s="286" t="s">
        <v>325</v>
      </c>
      <c r="E13" s="287">
        <f t="shared" ref="E13:L13" si="2">SUM(E5:E10)</f>
        <v>0</v>
      </c>
      <c r="F13" s="287">
        <f t="shared" si="2"/>
        <v>0</v>
      </c>
      <c r="G13" s="287">
        <f t="shared" si="2"/>
        <v>0</v>
      </c>
      <c r="H13" s="287">
        <f t="shared" si="2"/>
        <v>0</v>
      </c>
      <c r="I13" s="287">
        <f t="shared" si="2"/>
        <v>70</v>
      </c>
      <c r="J13" s="287">
        <f t="shared" si="2"/>
        <v>0</v>
      </c>
      <c r="K13" s="287">
        <f t="shared" si="2"/>
        <v>0</v>
      </c>
      <c r="L13" s="287">
        <f t="shared" si="2"/>
        <v>242</v>
      </c>
    </row>
    <row r="14">
      <c r="B14" s="266"/>
      <c r="C14" s="266"/>
      <c r="D14" s="266"/>
    </row>
    <row r="15">
      <c r="B15" s="266"/>
      <c r="C15" s="266"/>
      <c r="D15" s="266"/>
    </row>
    <row r="16">
      <c r="B16" s="267"/>
      <c r="C16" s="266"/>
      <c r="D16" s="266"/>
    </row>
    <row r="17">
      <c r="B17" s="266"/>
      <c r="C17" s="266"/>
      <c r="D17" s="266"/>
    </row>
    <row r="18">
      <c r="B18" s="266"/>
      <c r="C18" s="266"/>
      <c r="D18" s="266"/>
    </row>
    <row r="19">
      <c r="B19" s="266"/>
      <c r="C19" s="266"/>
      <c r="D19" s="266"/>
    </row>
    <row r="20">
      <c r="B20" s="266"/>
      <c r="C20" s="266"/>
      <c r="D20" s="266"/>
    </row>
    <row r="21">
      <c r="B21" s="266"/>
      <c r="C21" s="266"/>
      <c r="D21" s="266"/>
    </row>
    <row r="22">
      <c r="B22" s="266"/>
      <c r="C22" s="266"/>
      <c r="D22" s="266"/>
    </row>
    <row r="23">
      <c r="B23" s="266"/>
      <c r="C23" s="266"/>
      <c r="D23" s="266"/>
    </row>
    <row r="24">
      <c r="B24" s="266"/>
      <c r="C24" s="266"/>
      <c r="D24" s="266"/>
    </row>
    <row r="25">
      <c r="B25" s="266"/>
      <c r="C25" s="266"/>
      <c r="D25" s="266"/>
    </row>
    <row r="26">
      <c r="B26" s="266"/>
      <c r="C26" s="266"/>
      <c r="D26" s="266"/>
    </row>
    <row r="27">
      <c r="B27" s="266"/>
      <c r="C27" s="266"/>
      <c r="D27" s="266"/>
    </row>
    <row r="28">
      <c r="B28" s="266"/>
      <c r="C28" s="266"/>
      <c r="D28" s="266"/>
    </row>
    <row r="29">
      <c r="B29" s="266"/>
      <c r="C29" s="266"/>
      <c r="D29" s="266"/>
    </row>
    <row r="30">
      <c r="B30" s="266"/>
      <c r="C30" s="266"/>
      <c r="D30" s="266"/>
    </row>
    <row r="31">
      <c r="B31" s="266"/>
      <c r="C31" s="266"/>
      <c r="D31" s="266"/>
    </row>
    <row r="32">
      <c r="B32" s="266"/>
      <c r="C32" s="266"/>
      <c r="D32" s="266"/>
    </row>
    <row r="33">
      <c r="B33" s="266"/>
      <c r="C33" s="266"/>
      <c r="D33" s="266"/>
    </row>
    <row r="34">
      <c r="B34" s="266"/>
      <c r="C34" s="266"/>
      <c r="D34" s="266"/>
    </row>
    <row r="35">
      <c r="B35" s="266"/>
      <c r="C35" s="266"/>
      <c r="D35" s="266"/>
    </row>
    <row r="36">
      <c r="B36" s="266"/>
      <c r="C36" s="266"/>
      <c r="D36" s="266"/>
    </row>
    <row r="37">
      <c r="B37" s="266"/>
      <c r="C37" s="266"/>
      <c r="D37" s="266"/>
    </row>
    <row r="38">
      <c r="B38" s="266"/>
      <c r="C38" s="266"/>
      <c r="D38" s="266"/>
    </row>
    <row r="39">
      <c r="B39" s="266"/>
      <c r="C39" s="266"/>
      <c r="D39" s="266"/>
    </row>
    <row r="40">
      <c r="B40" s="266"/>
      <c r="C40" s="266"/>
      <c r="D40" s="266"/>
    </row>
    <row r="41">
      <c r="B41" s="266"/>
      <c r="C41" s="266"/>
      <c r="D41" s="266"/>
    </row>
    <row r="42">
      <c r="B42" s="266"/>
      <c r="C42" s="266"/>
      <c r="D42" s="266"/>
    </row>
    <row r="43">
      <c r="B43" s="266"/>
      <c r="C43" s="266"/>
      <c r="D43" s="266"/>
    </row>
    <row r="44">
      <c r="B44" s="266"/>
      <c r="C44" s="266"/>
      <c r="D44" s="266"/>
    </row>
    <row r="45">
      <c r="B45" s="266"/>
      <c r="C45" s="266"/>
      <c r="D45" s="266"/>
    </row>
    <row r="46">
      <c r="B46" s="266"/>
      <c r="C46" s="266"/>
      <c r="D46" s="266"/>
    </row>
    <row r="47">
      <c r="B47" s="266"/>
      <c r="C47" s="266"/>
      <c r="D47" s="266"/>
    </row>
    <row r="48">
      <c r="B48" s="266"/>
      <c r="C48" s="266"/>
      <c r="D48" s="266"/>
    </row>
    <row r="49">
      <c r="B49" s="266"/>
      <c r="C49" s="266"/>
      <c r="D49" s="266"/>
    </row>
    <row r="50">
      <c r="B50" s="266"/>
      <c r="C50" s="266"/>
      <c r="D50" s="266"/>
    </row>
    <row r="51">
      <c r="B51" s="266"/>
      <c r="C51" s="266"/>
      <c r="D51" s="266"/>
    </row>
    <row r="52">
      <c r="B52" s="266"/>
      <c r="C52" s="266"/>
      <c r="D52" s="266"/>
    </row>
    <row r="53">
      <c r="B53" s="266"/>
      <c r="C53" s="266"/>
      <c r="D53" s="266"/>
    </row>
    <row r="54">
      <c r="B54" s="266"/>
      <c r="C54" s="266"/>
      <c r="D54" s="266"/>
    </row>
    <row r="55">
      <c r="B55" s="266"/>
      <c r="C55" s="266"/>
      <c r="D55" s="266"/>
    </row>
    <row r="56">
      <c r="B56" s="266"/>
      <c r="C56" s="266"/>
      <c r="D56" s="266"/>
    </row>
    <row r="57">
      <c r="B57" s="266"/>
      <c r="C57" s="266"/>
      <c r="D57" s="266"/>
    </row>
    <row r="58">
      <c r="B58" s="266"/>
      <c r="C58" s="266"/>
      <c r="D58" s="266"/>
    </row>
    <row r="59">
      <c r="B59" s="266"/>
      <c r="C59" s="266"/>
      <c r="D59" s="266"/>
    </row>
    <row r="60">
      <c r="B60" s="266"/>
      <c r="C60" s="266"/>
      <c r="D60" s="266"/>
    </row>
    <row r="61">
      <c r="B61" s="266"/>
      <c r="C61" s="266"/>
      <c r="D61" s="266"/>
    </row>
    <row r="62">
      <c r="B62" s="266"/>
      <c r="C62" s="266"/>
      <c r="D62" s="266"/>
    </row>
    <row r="63">
      <c r="B63" s="266"/>
      <c r="C63" s="266"/>
      <c r="D63" s="266"/>
    </row>
    <row r="64">
      <c r="B64" s="266"/>
      <c r="C64" s="266"/>
      <c r="D64" s="266"/>
    </row>
    <row r="65">
      <c r="B65" s="266"/>
      <c r="C65" s="266"/>
      <c r="D65" s="266"/>
    </row>
    <row r="66">
      <c r="B66" s="266"/>
      <c r="C66" s="266"/>
      <c r="D66" s="266"/>
    </row>
    <row r="67">
      <c r="B67" s="266"/>
      <c r="C67" s="266"/>
      <c r="D67" s="266"/>
    </row>
    <row r="68">
      <c r="B68" s="266"/>
      <c r="C68" s="266"/>
      <c r="D68" s="266"/>
    </row>
    <row r="69">
      <c r="B69" s="266"/>
      <c r="C69" s="266"/>
      <c r="D69" s="266"/>
    </row>
    <row r="70">
      <c r="B70" s="266"/>
      <c r="C70" s="266"/>
      <c r="D70" s="266"/>
    </row>
    <row r="71">
      <c r="B71" s="266"/>
      <c r="C71" s="266"/>
      <c r="D71" s="266"/>
    </row>
    <row r="72">
      <c r="B72" s="266"/>
      <c r="C72" s="266"/>
      <c r="D72" s="266"/>
    </row>
    <row r="73">
      <c r="B73" s="266"/>
      <c r="C73" s="266"/>
      <c r="D73" s="266"/>
    </row>
    <row r="74">
      <c r="B74" s="266"/>
      <c r="C74" s="266"/>
      <c r="D74" s="266"/>
    </row>
    <row r="75">
      <c r="B75" s="266"/>
      <c r="C75" s="266"/>
      <c r="D75" s="266"/>
    </row>
    <row r="76">
      <c r="B76" s="266"/>
      <c r="C76" s="266"/>
      <c r="D76" s="266"/>
    </row>
    <row r="77">
      <c r="B77" s="266"/>
      <c r="C77" s="266"/>
      <c r="D77" s="266"/>
    </row>
    <row r="78">
      <c r="B78" s="266"/>
      <c r="C78" s="266"/>
      <c r="D78" s="266"/>
    </row>
    <row r="79">
      <c r="B79" s="266"/>
      <c r="C79" s="266"/>
      <c r="D79" s="266"/>
    </row>
    <row r="80">
      <c r="B80" s="266"/>
      <c r="C80" s="266"/>
      <c r="D80" s="266"/>
    </row>
    <row r="81">
      <c r="B81" s="266"/>
      <c r="C81" s="266"/>
      <c r="D81" s="266"/>
    </row>
    <row r="82">
      <c r="B82" s="266"/>
      <c r="C82" s="266"/>
      <c r="D82" s="266"/>
    </row>
    <row r="83">
      <c r="B83" s="266"/>
      <c r="C83" s="266"/>
      <c r="D83" s="266"/>
    </row>
    <row r="84">
      <c r="B84" s="266"/>
      <c r="C84" s="266"/>
      <c r="D84" s="266"/>
    </row>
    <row r="85">
      <c r="B85" s="266"/>
      <c r="C85" s="266"/>
      <c r="D85" s="266"/>
    </row>
    <row r="86">
      <c r="B86" s="266"/>
      <c r="C86" s="266"/>
      <c r="D86" s="266"/>
    </row>
    <row r="87">
      <c r="B87" s="266"/>
      <c r="C87" s="266"/>
      <c r="D87" s="266"/>
    </row>
    <row r="88">
      <c r="B88" s="266"/>
      <c r="C88" s="266"/>
      <c r="D88" s="266"/>
    </row>
    <row r="89">
      <c r="B89" s="266"/>
      <c r="C89" s="266"/>
      <c r="D89" s="266"/>
    </row>
    <row r="90">
      <c r="B90" s="266"/>
      <c r="C90" s="266"/>
      <c r="D90" s="266"/>
    </row>
    <row r="91">
      <c r="B91" s="266"/>
      <c r="C91" s="266"/>
      <c r="D91" s="266"/>
    </row>
    <row r="92">
      <c r="B92" s="266"/>
      <c r="C92" s="266"/>
      <c r="D92" s="266"/>
    </row>
    <row r="93">
      <c r="B93" s="266"/>
      <c r="C93" s="266"/>
      <c r="D93" s="266"/>
    </row>
    <row r="94">
      <c r="B94" s="266"/>
      <c r="C94" s="266"/>
      <c r="D94" s="266"/>
    </row>
    <row r="95">
      <c r="B95" s="266"/>
      <c r="C95" s="266"/>
      <c r="D95" s="266"/>
    </row>
    <row r="96">
      <c r="B96" s="266"/>
      <c r="C96" s="266"/>
      <c r="D96" s="266"/>
    </row>
    <row r="97">
      <c r="B97" s="266"/>
      <c r="C97" s="266"/>
      <c r="D97" s="266"/>
    </row>
    <row r="98">
      <c r="B98" s="266"/>
      <c r="C98" s="266"/>
      <c r="D98" s="266"/>
    </row>
    <row r="99">
      <c r="B99" s="266"/>
      <c r="C99" s="266"/>
      <c r="D99" s="266"/>
    </row>
    <row r="100">
      <c r="B100" s="266"/>
      <c r="C100" s="266"/>
      <c r="D100" s="266"/>
    </row>
    <row r="101">
      <c r="B101" s="266"/>
      <c r="C101" s="266"/>
      <c r="D101" s="266"/>
    </row>
    <row r="102">
      <c r="B102" s="266"/>
      <c r="C102" s="266"/>
      <c r="D102" s="266"/>
    </row>
    <row r="103">
      <c r="B103" s="266"/>
      <c r="C103" s="266"/>
      <c r="D103" s="266"/>
    </row>
    <row r="104">
      <c r="B104" s="266"/>
      <c r="C104" s="266"/>
      <c r="D104" s="266"/>
    </row>
    <row r="105">
      <c r="B105" s="266"/>
      <c r="C105" s="266"/>
      <c r="D105" s="266"/>
    </row>
    <row r="106">
      <c r="B106" s="266"/>
      <c r="C106" s="266"/>
      <c r="D106" s="266"/>
    </row>
    <row r="107">
      <c r="B107" s="266"/>
      <c r="C107" s="266"/>
      <c r="D107" s="266"/>
    </row>
    <row r="108">
      <c r="B108" s="266"/>
      <c r="C108" s="266"/>
      <c r="D108" s="266"/>
    </row>
    <row r="109">
      <c r="B109" s="266"/>
      <c r="C109" s="266"/>
      <c r="D109" s="266"/>
    </row>
    <row r="110">
      <c r="B110" s="266"/>
      <c r="C110" s="266"/>
      <c r="D110" s="266"/>
    </row>
    <row r="111">
      <c r="B111" s="266"/>
      <c r="C111" s="266"/>
      <c r="D111" s="266"/>
    </row>
    <row r="112">
      <c r="B112" s="266"/>
      <c r="C112" s="266"/>
      <c r="D112" s="266"/>
    </row>
    <row r="113">
      <c r="B113" s="266"/>
      <c r="C113" s="266"/>
      <c r="D113" s="266"/>
    </row>
    <row r="114">
      <c r="B114" s="266"/>
      <c r="C114" s="266"/>
      <c r="D114" s="266"/>
    </row>
    <row r="115">
      <c r="B115" s="266"/>
      <c r="C115" s="266"/>
      <c r="D115" s="266"/>
    </row>
    <row r="116">
      <c r="B116" s="266"/>
      <c r="C116" s="266"/>
      <c r="D116" s="266"/>
    </row>
    <row r="117">
      <c r="B117" s="266"/>
      <c r="C117" s="266"/>
      <c r="D117" s="266"/>
    </row>
    <row r="118">
      <c r="B118" s="266"/>
      <c r="C118" s="266"/>
      <c r="D118" s="266"/>
    </row>
    <row r="119">
      <c r="B119" s="266"/>
      <c r="C119" s="266"/>
      <c r="D119" s="266"/>
    </row>
    <row r="120">
      <c r="B120" s="266"/>
      <c r="C120" s="266"/>
      <c r="D120" s="266"/>
    </row>
    <row r="121">
      <c r="B121" s="266"/>
      <c r="C121" s="266"/>
      <c r="D121" s="266"/>
    </row>
    <row r="122">
      <c r="B122" s="266"/>
      <c r="C122" s="266"/>
      <c r="D122" s="266"/>
    </row>
    <row r="123">
      <c r="B123" s="266"/>
      <c r="C123" s="266"/>
      <c r="D123" s="266"/>
    </row>
    <row r="124">
      <c r="B124" s="266"/>
      <c r="C124" s="266"/>
      <c r="D124" s="266"/>
    </row>
    <row r="125">
      <c r="B125" s="266"/>
      <c r="C125" s="266"/>
      <c r="D125" s="266"/>
    </row>
    <row r="126">
      <c r="B126" s="266"/>
      <c r="C126" s="266"/>
      <c r="D126" s="266"/>
    </row>
    <row r="127">
      <c r="B127" s="266"/>
      <c r="C127" s="266"/>
      <c r="D127" s="266"/>
    </row>
    <row r="128">
      <c r="B128" s="266"/>
      <c r="C128" s="266"/>
      <c r="D128" s="266"/>
    </row>
    <row r="129">
      <c r="B129" s="266"/>
      <c r="C129" s="266"/>
      <c r="D129" s="266"/>
    </row>
    <row r="130">
      <c r="B130" s="266"/>
      <c r="C130" s="266"/>
      <c r="D130" s="266"/>
    </row>
    <row r="131">
      <c r="B131" s="266"/>
      <c r="C131" s="266"/>
      <c r="D131" s="266"/>
    </row>
    <row r="132">
      <c r="B132" s="266"/>
      <c r="C132" s="266"/>
      <c r="D132" s="266"/>
    </row>
    <row r="133">
      <c r="B133" s="266"/>
      <c r="C133" s="266"/>
      <c r="D133" s="266"/>
    </row>
    <row r="134">
      <c r="B134" s="266"/>
      <c r="C134" s="266"/>
      <c r="D134" s="266"/>
    </row>
    <row r="135">
      <c r="B135" s="266"/>
      <c r="C135" s="266"/>
      <c r="D135" s="266"/>
    </row>
    <row r="136">
      <c r="B136" s="266"/>
      <c r="C136" s="266"/>
      <c r="D136" s="266"/>
    </row>
    <row r="137">
      <c r="B137" s="266"/>
      <c r="C137" s="266"/>
      <c r="D137" s="266"/>
    </row>
    <row r="138">
      <c r="B138" s="266"/>
      <c r="C138" s="266"/>
      <c r="D138" s="266"/>
    </row>
    <row r="139">
      <c r="B139" s="266"/>
      <c r="C139" s="266"/>
      <c r="D139" s="266"/>
    </row>
    <row r="140">
      <c r="B140" s="266"/>
      <c r="C140" s="266"/>
      <c r="D140" s="266"/>
    </row>
    <row r="141">
      <c r="B141" s="266"/>
      <c r="C141" s="266"/>
      <c r="D141" s="266"/>
    </row>
    <row r="142">
      <c r="B142" s="266"/>
      <c r="C142" s="266"/>
      <c r="D142" s="266"/>
    </row>
    <row r="143">
      <c r="B143" s="266"/>
      <c r="C143" s="266"/>
      <c r="D143" s="266"/>
    </row>
    <row r="144">
      <c r="B144" s="266"/>
      <c r="C144" s="266"/>
      <c r="D144" s="266"/>
    </row>
    <row r="145">
      <c r="B145" s="266"/>
      <c r="C145" s="266"/>
      <c r="D145" s="266"/>
    </row>
    <row r="146">
      <c r="B146" s="266"/>
      <c r="C146" s="266"/>
      <c r="D146" s="266"/>
    </row>
    <row r="147">
      <c r="B147" s="266"/>
      <c r="C147" s="266"/>
      <c r="D147" s="266"/>
    </row>
    <row r="148">
      <c r="B148" s="266"/>
      <c r="C148" s="266"/>
      <c r="D148" s="266"/>
    </row>
    <row r="149">
      <c r="B149" s="266"/>
      <c r="C149" s="266"/>
      <c r="D149" s="266"/>
    </row>
    <row r="150">
      <c r="B150" s="266"/>
      <c r="C150" s="266"/>
      <c r="D150" s="266"/>
    </row>
    <row r="151">
      <c r="B151" s="266"/>
      <c r="C151" s="266"/>
      <c r="D151" s="266"/>
    </row>
    <row r="152">
      <c r="B152" s="266"/>
      <c r="C152" s="266"/>
      <c r="D152" s="266"/>
    </row>
    <row r="153">
      <c r="B153" s="266"/>
      <c r="C153" s="266"/>
      <c r="D153" s="266"/>
    </row>
    <row r="154">
      <c r="B154" s="266"/>
      <c r="C154" s="266"/>
      <c r="D154" s="266"/>
    </row>
    <row r="155">
      <c r="B155" s="266"/>
      <c r="C155" s="266"/>
      <c r="D155" s="266"/>
    </row>
    <row r="156">
      <c r="B156" s="266"/>
      <c r="C156" s="266"/>
      <c r="D156" s="266"/>
    </row>
    <row r="157">
      <c r="B157" s="266"/>
      <c r="C157" s="266"/>
      <c r="D157" s="266"/>
    </row>
    <row r="158">
      <c r="B158" s="266"/>
      <c r="C158" s="266"/>
      <c r="D158" s="266"/>
    </row>
    <row r="159">
      <c r="B159" s="266"/>
      <c r="C159" s="266"/>
      <c r="D159" s="266"/>
    </row>
    <row r="160">
      <c r="B160" s="266"/>
      <c r="C160" s="266"/>
      <c r="D160" s="266"/>
    </row>
    <row r="161">
      <c r="B161" s="266"/>
      <c r="C161" s="266"/>
      <c r="D161" s="266"/>
    </row>
    <row r="162">
      <c r="B162" s="266"/>
      <c r="C162" s="266"/>
      <c r="D162" s="266"/>
    </row>
    <row r="163">
      <c r="B163" s="266"/>
      <c r="C163" s="266"/>
      <c r="D163" s="266"/>
    </row>
    <row r="164">
      <c r="B164" s="266"/>
      <c r="C164" s="266"/>
      <c r="D164" s="266"/>
    </row>
    <row r="165">
      <c r="B165" s="266"/>
      <c r="C165" s="266"/>
      <c r="D165" s="266"/>
    </row>
    <row r="166">
      <c r="B166" s="266"/>
      <c r="C166" s="266"/>
      <c r="D166" s="266"/>
    </row>
    <row r="167">
      <c r="B167" s="266"/>
      <c r="C167" s="266"/>
      <c r="D167" s="266"/>
    </row>
    <row r="168">
      <c r="B168" s="266"/>
      <c r="C168" s="266"/>
      <c r="D168" s="266"/>
    </row>
    <row r="169">
      <c r="B169" s="266"/>
      <c r="C169" s="266"/>
      <c r="D169" s="266"/>
    </row>
    <row r="170">
      <c r="B170" s="266"/>
      <c r="C170" s="266"/>
      <c r="D170" s="266"/>
    </row>
    <row r="171">
      <c r="B171" s="266"/>
      <c r="C171" s="266"/>
      <c r="D171" s="266"/>
    </row>
    <row r="172">
      <c r="B172" s="266"/>
      <c r="C172" s="266"/>
      <c r="D172" s="266"/>
    </row>
    <row r="173">
      <c r="B173" s="266"/>
      <c r="C173" s="266"/>
      <c r="D173" s="266"/>
    </row>
    <row r="174">
      <c r="B174" s="266"/>
      <c r="C174" s="266"/>
      <c r="D174" s="266"/>
    </row>
    <row r="175">
      <c r="B175" s="266"/>
      <c r="C175" s="266"/>
      <c r="D175" s="266"/>
    </row>
    <row r="176">
      <c r="B176" s="266"/>
      <c r="C176" s="266"/>
      <c r="D176" s="266"/>
    </row>
    <row r="177">
      <c r="B177" s="266"/>
      <c r="C177" s="266"/>
      <c r="D177" s="266"/>
    </row>
    <row r="178">
      <c r="B178" s="266"/>
      <c r="C178" s="266"/>
      <c r="D178" s="266"/>
    </row>
    <row r="179">
      <c r="B179" s="266"/>
      <c r="C179" s="266"/>
      <c r="D179" s="266"/>
    </row>
    <row r="180">
      <c r="B180" s="266"/>
      <c r="C180" s="266"/>
      <c r="D180" s="266"/>
    </row>
    <row r="181">
      <c r="B181" s="266"/>
      <c r="C181" s="266"/>
      <c r="D181" s="266"/>
    </row>
    <row r="182">
      <c r="B182" s="266"/>
      <c r="C182" s="266"/>
      <c r="D182" s="266"/>
    </row>
    <row r="183">
      <c r="B183" s="266"/>
      <c r="C183" s="266"/>
      <c r="D183" s="266"/>
    </row>
    <row r="184">
      <c r="B184" s="266"/>
      <c r="C184" s="266"/>
      <c r="D184" s="266"/>
    </row>
    <row r="185">
      <c r="B185" s="266"/>
      <c r="C185" s="266"/>
      <c r="D185" s="266"/>
    </row>
    <row r="186">
      <c r="B186" s="266"/>
      <c r="C186" s="266"/>
      <c r="D186" s="266"/>
    </row>
    <row r="187">
      <c r="B187" s="266"/>
      <c r="C187" s="266"/>
      <c r="D187" s="266"/>
    </row>
    <row r="188">
      <c r="B188" s="266"/>
      <c r="C188" s="266"/>
      <c r="D188" s="266"/>
    </row>
    <row r="189">
      <c r="B189" s="266"/>
      <c r="C189" s="266"/>
      <c r="D189" s="266"/>
    </row>
    <row r="190">
      <c r="B190" s="266"/>
      <c r="C190" s="266"/>
      <c r="D190" s="266"/>
    </row>
    <row r="191">
      <c r="B191" s="266"/>
      <c r="C191" s="266"/>
      <c r="D191" s="266"/>
    </row>
    <row r="192">
      <c r="B192" s="266"/>
      <c r="C192" s="266"/>
      <c r="D192" s="266"/>
    </row>
    <row r="193">
      <c r="B193" s="266"/>
      <c r="C193" s="266"/>
      <c r="D193" s="266"/>
    </row>
    <row r="194">
      <c r="B194" s="266"/>
      <c r="C194" s="266"/>
      <c r="D194" s="266"/>
    </row>
    <row r="195">
      <c r="B195" s="266"/>
      <c r="C195" s="266"/>
      <c r="D195" s="266"/>
    </row>
    <row r="196">
      <c r="B196" s="266"/>
      <c r="C196" s="266"/>
      <c r="D196" s="266"/>
    </row>
    <row r="197">
      <c r="B197" s="266"/>
      <c r="C197" s="266"/>
      <c r="D197" s="266"/>
    </row>
    <row r="198">
      <c r="B198" s="266"/>
      <c r="C198" s="266"/>
      <c r="D198" s="266"/>
    </row>
    <row r="199">
      <c r="B199" s="266"/>
      <c r="C199" s="266"/>
      <c r="D199" s="266"/>
    </row>
    <row r="200">
      <c r="B200" s="266"/>
      <c r="C200" s="266"/>
      <c r="D200" s="266"/>
    </row>
    <row r="201">
      <c r="B201" s="266"/>
      <c r="C201" s="266"/>
      <c r="D201" s="266"/>
    </row>
    <row r="202">
      <c r="B202" s="266"/>
      <c r="C202" s="266"/>
      <c r="D202" s="266"/>
    </row>
    <row r="203">
      <c r="B203" s="266"/>
      <c r="C203" s="266"/>
      <c r="D203" s="266"/>
    </row>
    <row r="204">
      <c r="B204" s="266"/>
      <c r="C204" s="266"/>
      <c r="D204" s="266"/>
    </row>
    <row r="205">
      <c r="B205" s="266"/>
      <c r="C205" s="266"/>
      <c r="D205" s="266"/>
    </row>
    <row r="206">
      <c r="B206" s="266"/>
      <c r="C206" s="266"/>
      <c r="D206" s="266"/>
    </row>
    <row r="207">
      <c r="B207" s="266"/>
      <c r="C207" s="266"/>
      <c r="D207" s="266"/>
    </row>
    <row r="208">
      <c r="B208" s="266"/>
      <c r="C208" s="266"/>
      <c r="D208" s="266"/>
    </row>
    <row r="209">
      <c r="B209" s="266"/>
      <c r="C209" s="266"/>
      <c r="D209" s="266"/>
    </row>
    <row r="210">
      <c r="B210" s="266"/>
      <c r="C210" s="266"/>
      <c r="D210" s="266"/>
    </row>
    <row r="211">
      <c r="B211" s="266"/>
      <c r="C211" s="266"/>
      <c r="D211" s="266"/>
    </row>
    <row r="212">
      <c r="B212" s="266"/>
      <c r="C212" s="266"/>
      <c r="D212" s="266"/>
    </row>
    <row r="213">
      <c r="B213" s="266"/>
      <c r="C213" s="266"/>
      <c r="D213" s="266"/>
    </row>
    <row r="214">
      <c r="B214" s="266"/>
      <c r="C214" s="266"/>
      <c r="D214" s="266"/>
    </row>
    <row r="215">
      <c r="B215" s="266"/>
      <c r="C215" s="266"/>
      <c r="D215" s="266"/>
    </row>
    <row r="216">
      <c r="B216" s="266"/>
      <c r="C216" s="266"/>
      <c r="D216" s="266"/>
    </row>
    <row r="217">
      <c r="B217" s="266"/>
      <c r="C217" s="266"/>
      <c r="D217" s="266"/>
    </row>
    <row r="218">
      <c r="B218" s="266"/>
      <c r="C218" s="266"/>
      <c r="D218" s="266"/>
    </row>
    <row r="219">
      <c r="B219" s="266"/>
      <c r="C219" s="266"/>
      <c r="D219" s="266"/>
    </row>
    <row r="220">
      <c r="B220" s="266"/>
      <c r="C220" s="266"/>
      <c r="D220" s="266"/>
    </row>
    <row r="221">
      <c r="B221" s="266"/>
      <c r="C221" s="266"/>
      <c r="D221" s="266"/>
    </row>
    <row r="222">
      <c r="B222" s="266"/>
      <c r="C222" s="266"/>
      <c r="D222" s="266"/>
    </row>
    <row r="223">
      <c r="B223" s="266"/>
      <c r="C223" s="266"/>
      <c r="D223" s="266"/>
    </row>
    <row r="224">
      <c r="B224" s="266"/>
      <c r="C224" s="266"/>
      <c r="D224" s="266"/>
    </row>
    <row r="225">
      <c r="B225" s="266"/>
      <c r="C225" s="266"/>
      <c r="D225" s="266"/>
    </row>
    <row r="226">
      <c r="B226" s="266"/>
      <c r="C226" s="266"/>
      <c r="D226" s="266"/>
    </row>
    <row r="227">
      <c r="B227" s="266"/>
      <c r="C227" s="266"/>
      <c r="D227" s="266"/>
    </row>
    <row r="228">
      <c r="B228" s="266"/>
      <c r="C228" s="266"/>
      <c r="D228" s="266"/>
    </row>
    <row r="229">
      <c r="B229" s="266"/>
      <c r="C229" s="266"/>
      <c r="D229" s="266"/>
    </row>
    <row r="230">
      <c r="B230" s="266"/>
      <c r="C230" s="266"/>
      <c r="D230" s="266"/>
    </row>
    <row r="231">
      <c r="B231" s="266"/>
      <c r="C231" s="266"/>
      <c r="D231" s="266"/>
    </row>
    <row r="232">
      <c r="B232" s="266"/>
      <c r="C232" s="266"/>
      <c r="D232" s="266"/>
    </row>
    <row r="233">
      <c r="B233" s="266"/>
      <c r="C233" s="266"/>
      <c r="D233" s="266"/>
    </row>
    <row r="234">
      <c r="B234" s="266"/>
      <c r="C234" s="266"/>
      <c r="D234" s="266"/>
    </row>
    <row r="235">
      <c r="B235" s="266"/>
      <c r="C235" s="266"/>
      <c r="D235" s="266"/>
    </row>
    <row r="236">
      <c r="B236" s="266"/>
      <c r="C236" s="266"/>
      <c r="D236" s="266"/>
    </row>
    <row r="237">
      <c r="B237" s="266"/>
      <c r="C237" s="266"/>
      <c r="D237" s="266"/>
    </row>
    <row r="238">
      <c r="B238" s="266"/>
      <c r="C238" s="266"/>
      <c r="D238" s="266"/>
    </row>
    <row r="239">
      <c r="B239" s="266"/>
      <c r="C239" s="266"/>
      <c r="D239" s="266"/>
    </row>
    <row r="240">
      <c r="B240" s="266"/>
      <c r="C240" s="266"/>
      <c r="D240" s="266"/>
    </row>
    <row r="241">
      <c r="B241" s="266"/>
      <c r="C241" s="266"/>
      <c r="D241" s="266"/>
    </row>
    <row r="242">
      <c r="B242" s="266"/>
      <c r="C242" s="266"/>
      <c r="D242" s="266"/>
    </row>
    <row r="243">
      <c r="B243" s="266"/>
      <c r="C243" s="266"/>
      <c r="D243" s="266"/>
    </row>
    <row r="244">
      <c r="B244" s="266"/>
      <c r="C244" s="266"/>
      <c r="D244" s="266"/>
    </row>
    <row r="245">
      <c r="B245" s="266"/>
      <c r="C245" s="266"/>
      <c r="D245" s="266"/>
    </row>
    <row r="246">
      <c r="B246" s="266"/>
      <c r="C246" s="266"/>
      <c r="D246" s="266"/>
    </row>
    <row r="247">
      <c r="B247" s="266"/>
      <c r="C247" s="266"/>
      <c r="D247" s="266"/>
    </row>
    <row r="248">
      <c r="B248" s="266"/>
      <c r="C248" s="266"/>
      <c r="D248" s="266"/>
    </row>
    <row r="249">
      <c r="B249" s="266"/>
      <c r="C249" s="266"/>
      <c r="D249" s="266"/>
    </row>
    <row r="250">
      <c r="B250" s="266"/>
      <c r="C250" s="266"/>
      <c r="D250" s="266"/>
    </row>
    <row r="251">
      <c r="B251" s="266"/>
      <c r="C251" s="266"/>
      <c r="D251" s="266"/>
    </row>
    <row r="252">
      <c r="B252" s="266"/>
      <c r="C252" s="266"/>
      <c r="D252" s="266"/>
    </row>
    <row r="253">
      <c r="B253" s="266"/>
      <c r="C253" s="266"/>
      <c r="D253" s="266"/>
    </row>
    <row r="254">
      <c r="B254" s="266"/>
      <c r="C254" s="266"/>
      <c r="D254" s="266"/>
    </row>
    <row r="255">
      <c r="B255" s="266"/>
      <c r="C255" s="266"/>
      <c r="D255" s="266"/>
    </row>
    <row r="256">
      <c r="B256" s="266"/>
      <c r="C256" s="266"/>
      <c r="D256" s="266"/>
    </row>
    <row r="257">
      <c r="B257" s="266"/>
      <c r="C257" s="266"/>
      <c r="D257" s="266"/>
    </row>
    <row r="258">
      <c r="B258" s="266"/>
      <c r="C258" s="266"/>
      <c r="D258" s="266"/>
    </row>
    <row r="259">
      <c r="B259" s="266"/>
      <c r="C259" s="266"/>
      <c r="D259" s="266"/>
    </row>
    <row r="260">
      <c r="B260" s="266"/>
      <c r="C260" s="266"/>
      <c r="D260" s="266"/>
    </row>
    <row r="261">
      <c r="B261" s="266"/>
      <c r="C261" s="266"/>
      <c r="D261" s="266"/>
    </row>
    <row r="262">
      <c r="B262" s="266"/>
      <c r="C262" s="266"/>
      <c r="D262" s="266"/>
    </row>
    <row r="263">
      <c r="B263" s="266"/>
      <c r="C263" s="266"/>
      <c r="D263" s="266"/>
    </row>
    <row r="264">
      <c r="B264" s="266"/>
      <c r="C264" s="266"/>
      <c r="D264" s="266"/>
    </row>
    <row r="265">
      <c r="B265" s="266"/>
      <c r="C265" s="266"/>
      <c r="D265" s="266"/>
    </row>
    <row r="266">
      <c r="B266" s="266"/>
      <c r="C266" s="266"/>
      <c r="D266" s="266"/>
    </row>
    <row r="267">
      <c r="B267" s="266"/>
      <c r="C267" s="266"/>
      <c r="D267" s="266"/>
    </row>
    <row r="268">
      <c r="B268" s="266"/>
      <c r="C268" s="266"/>
      <c r="D268" s="266"/>
    </row>
    <row r="269">
      <c r="B269" s="266"/>
      <c r="C269" s="266"/>
      <c r="D269" s="266"/>
    </row>
    <row r="270">
      <c r="B270" s="266"/>
      <c r="C270" s="266"/>
      <c r="D270" s="266"/>
    </row>
    <row r="271">
      <c r="B271" s="266"/>
      <c r="C271" s="266"/>
      <c r="D271" s="266"/>
    </row>
    <row r="272">
      <c r="B272" s="266"/>
      <c r="C272" s="266"/>
      <c r="D272" s="266"/>
    </row>
    <row r="273">
      <c r="B273" s="266"/>
      <c r="C273" s="266"/>
      <c r="D273" s="266"/>
    </row>
    <row r="274">
      <c r="B274" s="266"/>
      <c r="C274" s="266"/>
      <c r="D274" s="266"/>
    </row>
    <row r="275">
      <c r="B275" s="266"/>
      <c r="C275" s="266"/>
      <c r="D275" s="266"/>
    </row>
    <row r="276">
      <c r="B276" s="266"/>
      <c r="C276" s="266"/>
      <c r="D276" s="266"/>
    </row>
    <row r="277">
      <c r="B277" s="266"/>
      <c r="C277" s="266"/>
      <c r="D277" s="266"/>
    </row>
    <row r="278">
      <c r="B278" s="266"/>
      <c r="C278" s="266"/>
      <c r="D278" s="266"/>
    </row>
    <row r="279">
      <c r="B279" s="266"/>
      <c r="C279" s="266"/>
      <c r="D279" s="266"/>
    </row>
    <row r="280">
      <c r="B280" s="266"/>
      <c r="C280" s="266"/>
      <c r="D280" s="266"/>
    </row>
    <row r="281">
      <c r="B281" s="266"/>
      <c r="C281" s="266"/>
      <c r="D281" s="266"/>
    </row>
    <row r="282">
      <c r="B282" s="266"/>
      <c r="C282" s="266"/>
      <c r="D282" s="266"/>
    </row>
    <row r="283">
      <c r="B283" s="266"/>
      <c r="C283" s="266"/>
      <c r="D283" s="266"/>
    </row>
    <row r="284">
      <c r="B284" s="266"/>
      <c r="C284" s="266"/>
      <c r="D284" s="266"/>
    </row>
    <row r="285">
      <c r="B285" s="266"/>
      <c r="C285" s="266"/>
      <c r="D285" s="266"/>
    </row>
    <row r="286">
      <c r="B286" s="266"/>
      <c r="C286" s="266"/>
      <c r="D286" s="266"/>
    </row>
    <row r="287">
      <c r="B287" s="266"/>
      <c r="C287" s="266"/>
      <c r="D287" s="266"/>
    </row>
    <row r="288">
      <c r="B288" s="266"/>
      <c r="C288" s="266"/>
      <c r="D288" s="266"/>
    </row>
    <row r="289">
      <c r="B289" s="266"/>
      <c r="C289" s="266"/>
      <c r="D289" s="266"/>
    </row>
    <row r="290">
      <c r="B290" s="266"/>
      <c r="C290" s="266"/>
      <c r="D290" s="266"/>
    </row>
    <row r="291">
      <c r="B291" s="266"/>
      <c r="C291" s="266"/>
      <c r="D291" s="266"/>
    </row>
    <row r="292">
      <c r="B292" s="266"/>
      <c r="C292" s="266"/>
      <c r="D292" s="266"/>
    </row>
    <row r="293">
      <c r="B293" s="266"/>
      <c r="C293" s="266"/>
      <c r="D293" s="266"/>
    </row>
    <row r="294">
      <c r="B294" s="266"/>
      <c r="C294" s="266"/>
      <c r="D294" s="266"/>
    </row>
    <row r="295">
      <c r="B295" s="266"/>
      <c r="C295" s="266"/>
      <c r="D295" s="266"/>
    </row>
    <row r="296">
      <c r="B296" s="266"/>
      <c r="C296" s="266"/>
      <c r="D296" s="266"/>
    </row>
    <row r="297">
      <c r="B297" s="266"/>
      <c r="C297" s="266"/>
      <c r="D297" s="266"/>
    </row>
    <row r="298">
      <c r="B298" s="266"/>
      <c r="C298" s="266"/>
      <c r="D298" s="266"/>
    </row>
    <row r="299">
      <c r="B299" s="266"/>
      <c r="C299" s="266"/>
      <c r="D299" s="266"/>
    </row>
    <row r="300">
      <c r="B300" s="266"/>
      <c r="C300" s="266"/>
      <c r="D300" s="266"/>
    </row>
    <row r="301">
      <c r="B301" s="266"/>
      <c r="C301" s="266"/>
      <c r="D301" s="266"/>
    </row>
    <row r="302">
      <c r="B302" s="266"/>
      <c r="C302" s="266"/>
      <c r="D302" s="266"/>
    </row>
    <row r="303">
      <c r="B303" s="266"/>
      <c r="C303" s="266"/>
      <c r="D303" s="266"/>
    </row>
    <row r="304">
      <c r="B304" s="266"/>
      <c r="C304" s="266"/>
      <c r="D304" s="266"/>
    </row>
    <row r="305">
      <c r="B305" s="266"/>
      <c r="C305" s="266"/>
      <c r="D305" s="266"/>
    </row>
    <row r="306">
      <c r="B306" s="266"/>
      <c r="C306" s="266"/>
      <c r="D306" s="266"/>
    </row>
    <row r="307">
      <c r="B307" s="266"/>
      <c r="C307" s="266"/>
      <c r="D307" s="266"/>
    </row>
    <row r="308">
      <c r="B308" s="266"/>
      <c r="C308" s="266"/>
      <c r="D308" s="266"/>
    </row>
    <row r="309">
      <c r="B309" s="266"/>
      <c r="C309" s="266"/>
      <c r="D309" s="266"/>
    </row>
    <row r="310">
      <c r="B310" s="266"/>
      <c r="C310" s="266"/>
      <c r="D310" s="266"/>
    </row>
    <row r="311">
      <c r="B311" s="266"/>
      <c r="C311" s="266"/>
      <c r="D311" s="266"/>
    </row>
    <row r="312">
      <c r="B312" s="266"/>
      <c r="C312" s="266"/>
      <c r="D312" s="266"/>
    </row>
    <row r="313">
      <c r="B313" s="266"/>
      <c r="C313" s="266"/>
      <c r="D313" s="266"/>
    </row>
    <row r="314">
      <c r="B314" s="266"/>
      <c r="C314" s="266"/>
      <c r="D314" s="266"/>
    </row>
    <row r="315">
      <c r="B315" s="266"/>
      <c r="C315" s="266"/>
      <c r="D315" s="266"/>
    </row>
    <row r="316">
      <c r="B316" s="266"/>
      <c r="C316" s="266"/>
      <c r="D316" s="266"/>
    </row>
    <row r="317">
      <c r="B317" s="266"/>
      <c r="C317" s="266"/>
      <c r="D317" s="266"/>
    </row>
    <row r="318">
      <c r="B318" s="266"/>
      <c r="C318" s="266"/>
      <c r="D318" s="266"/>
    </row>
    <row r="319">
      <c r="B319" s="266"/>
      <c r="C319" s="266"/>
      <c r="D319" s="266"/>
    </row>
    <row r="320">
      <c r="B320" s="266"/>
      <c r="C320" s="266"/>
      <c r="D320" s="266"/>
    </row>
    <row r="321">
      <c r="B321" s="266"/>
      <c r="C321" s="266"/>
      <c r="D321" s="266"/>
    </row>
    <row r="322">
      <c r="B322" s="266"/>
      <c r="C322" s="266"/>
      <c r="D322" s="266"/>
    </row>
    <row r="323">
      <c r="B323" s="266"/>
      <c r="C323" s="266"/>
      <c r="D323" s="266"/>
    </row>
    <row r="324">
      <c r="B324" s="266"/>
      <c r="C324" s="266"/>
      <c r="D324" s="266"/>
    </row>
    <row r="325">
      <c r="B325" s="266"/>
      <c r="C325" s="266"/>
      <c r="D325" s="266"/>
    </row>
    <row r="326">
      <c r="B326" s="266"/>
      <c r="C326" s="266"/>
      <c r="D326" s="266"/>
    </row>
    <row r="327">
      <c r="B327" s="266"/>
      <c r="C327" s="266"/>
      <c r="D327" s="266"/>
    </row>
    <row r="328">
      <c r="B328" s="266"/>
      <c r="C328" s="266"/>
      <c r="D328" s="266"/>
    </row>
    <row r="329">
      <c r="B329" s="266"/>
      <c r="C329" s="266"/>
      <c r="D329" s="266"/>
    </row>
    <row r="330">
      <c r="B330" s="266"/>
      <c r="C330" s="266"/>
      <c r="D330" s="266"/>
    </row>
    <row r="331">
      <c r="B331" s="266"/>
      <c r="C331" s="266"/>
      <c r="D331" s="266"/>
    </row>
    <row r="332">
      <c r="B332" s="266"/>
      <c r="C332" s="266"/>
      <c r="D332" s="266"/>
    </row>
    <row r="333">
      <c r="B333" s="266"/>
      <c r="C333" s="266"/>
      <c r="D333" s="266"/>
    </row>
    <row r="334">
      <c r="B334" s="266"/>
      <c r="C334" s="266"/>
      <c r="D334" s="266"/>
    </row>
    <row r="335">
      <c r="B335" s="266"/>
      <c r="C335" s="266"/>
      <c r="D335" s="266"/>
    </row>
    <row r="336">
      <c r="B336" s="266"/>
      <c r="C336" s="266"/>
      <c r="D336" s="266"/>
    </row>
    <row r="337">
      <c r="B337" s="266"/>
      <c r="C337" s="266"/>
      <c r="D337" s="266"/>
    </row>
    <row r="338">
      <c r="B338" s="266"/>
      <c r="C338" s="266"/>
      <c r="D338" s="266"/>
    </row>
    <row r="339">
      <c r="B339" s="266"/>
      <c r="C339" s="266"/>
      <c r="D339" s="266"/>
    </row>
    <row r="340">
      <c r="B340" s="266"/>
      <c r="C340" s="266"/>
      <c r="D340" s="266"/>
    </row>
    <row r="341">
      <c r="B341" s="266"/>
      <c r="C341" s="266"/>
      <c r="D341" s="266"/>
    </row>
    <row r="342">
      <c r="B342" s="266"/>
      <c r="C342" s="266"/>
      <c r="D342" s="266"/>
    </row>
    <row r="343">
      <c r="B343" s="266"/>
      <c r="C343" s="266"/>
      <c r="D343" s="266"/>
    </row>
    <row r="344">
      <c r="B344" s="266"/>
      <c r="C344" s="266"/>
      <c r="D344" s="266"/>
    </row>
    <row r="345">
      <c r="B345" s="266"/>
      <c r="C345" s="266"/>
      <c r="D345" s="266"/>
    </row>
    <row r="346">
      <c r="B346" s="266"/>
      <c r="C346" s="266"/>
      <c r="D346" s="266"/>
    </row>
    <row r="347">
      <c r="B347" s="266"/>
      <c r="C347" s="266"/>
      <c r="D347" s="266"/>
    </row>
    <row r="348">
      <c r="B348" s="266"/>
      <c r="C348" s="266"/>
      <c r="D348" s="266"/>
    </row>
    <row r="349">
      <c r="B349" s="266"/>
      <c r="C349" s="266"/>
      <c r="D349" s="266"/>
    </row>
    <row r="350">
      <c r="B350" s="266"/>
      <c r="C350" s="266"/>
      <c r="D350" s="266"/>
    </row>
    <row r="351">
      <c r="B351" s="266"/>
      <c r="C351" s="266"/>
      <c r="D351" s="266"/>
    </row>
    <row r="352">
      <c r="B352" s="266"/>
      <c r="C352" s="266"/>
      <c r="D352" s="266"/>
    </row>
    <row r="353">
      <c r="B353" s="266"/>
      <c r="C353" s="266"/>
      <c r="D353" s="266"/>
    </row>
    <row r="354">
      <c r="B354" s="266"/>
      <c r="C354" s="266"/>
      <c r="D354" s="266"/>
    </row>
    <row r="355">
      <c r="B355" s="266"/>
      <c r="C355" s="266"/>
      <c r="D355" s="266"/>
    </row>
    <row r="356">
      <c r="B356" s="266"/>
      <c r="C356" s="266"/>
      <c r="D356" s="266"/>
    </row>
    <row r="357">
      <c r="B357" s="266"/>
      <c r="C357" s="266"/>
      <c r="D357" s="266"/>
    </row>
    <row r="358">
      <c r="B358" s="266"/>
      <c r="C358" s="266"/>
      <c r="D358" s="266"/>
    </row>
    <row r="359">
      <c r="B359" s="266"/>
      <c r="C359" s="266"/>
      <c r="D359" s="266"/>
    </row>
    <row r="360">
      <c r="B360" s="266"/>
      <c r="C360" s="266"/>
      <c r="D360" s="266"/>
    </row>
    <row r="361">
      <c r="B361" s="266"/>
      <c r="C361" s="266"/>
      <c r="D361" s="266"/>
    </row>
    <row r="362">
      <c r="B362" s="266"/>
      <c r="C362" s="266"/>
      <c r="D362" s="266"/>
    </row>
    <row r="363">
      <c r="B363" s="266"/>
      <c r="C363" s="266"/>
      <c r="D363" s="266"/>
    </row>
    <row r="364">
      <c r="B364" s="266"/>
      <c r="C364" s="266"/>
      <c r="D364" s="266"/>
    </row>
    <row r="365">
      <c r="B365" s="266"/>
      <c r="C365" s="266"/>
      <c r="D365" s="266"/>
    </row>
    <row r="366">
      <c r="B366" s="266"/>
      <c r="C366" s="266"/>
      <c r="D366" s="266"/>
    </row>
    <row r="367">
      <c r="B367" s="266"/>
      <c r="C367" s="266"/>
      <c r="D367" s="266"/>
    </row>
    <row r="368">
      <c r="B368" s="266"/>
      <c r="C368" s="266"/>
      <c r="D368" s="266"/>
    </row>
    <row r="369">
      <c r="B369" s="266"/>
      <c r="C369" s="266"/>
      <c r="D369" s="266"/>
    </row>
    <row r="370">
      <c r="B370" s="266"/>
      <c r="C370" s="266"/>
      <c r="D370" s="266"/>
    </row>
    <row r="371">
      <c r="B371" s="266"/>
      <c r="C371" s="266"/>
      <c r="D371" s="266"/>
    </row>
    <row r="372">
      <c r="B372" s="266"/>
      <c r="C372" s="266"/>
      <c r="D372" s="266"/>
    </row>
    <row r="373">
      <c r="B373" s="266"/>
      <c r="C373" s="266"/>
      <c r="D373" s="266"/>
    </row>
    <row r="374">
      <c r="B374" s="266"/>
      <c r="C374" s="266"/>
      <c r="D374" s="266"/>
    </row>
    <row r="375">
      <c r="B375" s="266"/>
      <c r="C375" s="266"/>
      <c r="D375" s="266"/>
    </row>
    <row r="376">
      <c r="B376" s="266"/>
      <c r="C376" s="266"/>
      <c r="D376" s="266"/>
    </row>
    <row r="377">
      <c r="B377" s="266"/>
      <c r="C377" s="266"/>
      <c r="D377" s="266"/>
    </row>
    <row r="378">
      <c r="B378" s="266"/>
      <c r="C378" s="266"/>
      <c r="D378" s="266"/>
    </row>
    <row r="379">
      <c r="B379" s="266"/>
      <c r="C379" s="266"/>
      <c r="D379" s="266"/>
    </row>
    <row r="380">
      <c r="B380" s="266"/>
      <c r="C380" s="266"/>
      <c r="D380" s="266"/>
    </row>
    <row r="381">
      <c r="B381" s="266"/>
      <c r="C381" s="266"/>
      <c r="D381" s="266"/>
    </row>
    <row r="382">
      <c r="B382" s="266"/>
      <c r="C382" s="266"/>
      <c r="D382" s="266"/>
    </row>
    <row r="383">
      <c r="B383" s="266"/>
      <c r="C383" s="266"/>
      <c r="D383" s="266"/>
    </row>
    <row r="384">
      <c r="B384" s="266"/>
      <c r="C384" s="266"/>
      <c r="D384" s="266"/>
    </row>
    <row r="385">
      <c r="B385" s="266"/>
      <c r="C385" s="266"/>
      <c r="D385" s="266"/>
    </row>
    <row r="386">
      <c r="B386" s="266"/>
      <c r="C386" s="266"/>
      <c r="D386" s="266"/>
    </row>
    <row r="387">
      <c r="B387" s="266"/>
      <c r="C387" s="266"/>
      <c r="D387" s="266"/>
    </row>
    <row r="388">
      <c r="B388" s="266"/>
      <c r="C388" s="266"/>
      <c r="D388" s="266"/>
    </row>
    <row r="389">
      <c r="B389" s="266"/>
      <c r="C389" s="266"/>
      <c r="D389" s="266"/>
    </row>
    <row r="390">
      <c r="B390" s="266"/>
      <c r="C390" s="266"/>
      <c r="D390" s="266"/>
    </row>
    <row r="391">
      <c r="B391" s="266"/>
      <c r="C391" s="266"/>
      <c r="D391" s="266"/>
    </row>
    <row r="392">
      <c r="B392" s="266"/>
      <c r="C392" s="266"/>
      <c r="D392" s="266"/>
    </row>
    <row r="393">
      <c r="B393" s="266"/>
      <c r="C393" s="266"/>
      <c r="D393" s="266"/>
    </row>
    <row r="394">
      <c r="B394" s="266"/>
      <c r="C394" s="266"/>
      <c r="D394" s="266"/>
    </row>
    <row r="395">
      <c r="B395" s="266"/>
      <c r="C395" s="266"/>
      <c r="D395" s="266"/>
    </row>
    <row r="396">
      <c r="B396" s="266"/>
      <c r="C396" s="266"/>
      <c r="D396" s="266"/>
    </row>
    <row r="397">
      <c r="B397" s="266"/>
      <c r="C397" s="266"/>
      <c r="D397" s="266"/>
    </row>
    <row r="398">
      <c r="B398" s="266"/>
      <c r="C398" s="266"/>
      <c r="D398" s="266"/>
    </row>
    <row r="399">
      <c r="B399" s="266"/>
      <c r="C399" s="266"/>
      <c r="D399" s="266"/>
    </row>
    <row r="400">
      <c r="B400" s="266"/>
      <c r="C400" s="266"/>
      <c r="D400" s="266"/>
    </row>
    <row r="401">
      <c r="B401" s="266"/>
      <c r="C401" s="266"/>
      <c r="D401" s="266"/>
    </row>
    <row r="402">
      <c r="B402" s="266"/>
      <c r="C402" s="266"/>
      <c r="D402" s="266"/>
    </row>
    <row r="403">
      <c r="B403" s="266"/>
      <c r="C403" s="266"/>
      <c r="D403" s="266"/>
    </row>
    <row r="404">
      <c r="B404" s="266"/>
      <c r="C404" s="266"/>
      <c r="D404" s="266"/>
    </row>
    <row r="405">
      <c r="B405" s="266"/>
      <c r="C405" s="266"/>
      <c r="D405" s="266"/>
    </row>
    <row r="406">
      <c r="B406" s="266"/>
      <c r="C406" s="266"/>
      <c r="D406" s="266"/>
    </row>
    <row r="407">
      <c r="B407" s="266"/>
      <c r="C407" s="266"/>
      <c r="D407" s="266"/>
    </row>
    <row r="408">
      <c r="B408" s="266"/>
      <c r="C408" s="266"/>
      <c r="D408" s="266"/>
    </row>
    <row r="409">
      <c r="B409" s="266"/>
      <c r="C409" s="266"/>
      <c r="D409" s="266"/>
    </row>
    <row r="410">
      <c r="B410" s="266"/>
      <c r="C410" s="266"/>
      <c r="D410" s="266"/>
    </row>
    <row r="411">
      <c r="B411" s="266"/>
      <c r="C411" s="266"/>
      <c r="D411" s="266"/>
    </row>
    <row r="412">
      <c r="B412" s="266"/>
      <c r="C412" s="266"/>
      <c r="D412" s="266"/>
    </row>
    <row r="413">
      <c r="B413" s="266"/>
      <c r="C413" s="266"/>
      <c r="D413" s="266"/>
    </row>
    <row r="414">
      <c r="B414" s="266"/>
      <c r="C414" s="266"/>
      <c r="D414" s="266"/>
    </row>
    <row r="415">
      <c r="B415" s="266"/>
      <c r="C415" s="266"/>
      <c r="D415" s="266"/>
    </row>
    <row r="416">
      <c r="B416" s="266"/>
      <c r="C416" s="266"/>
      <c r="D416" s="266"/>
    </row>
    <row r="417">
      <c r="B417" s="266"/>
      <c r="C417" s="266"/>
      <c r="D417" s="266"/>
    </row>
    <row r="418">
      <c r="B418" s="266"/>
      <c r="C418" s="266"/>
      <c r="D418" s="266"/>
    </row>
    <row r="419">
      <c r="B419" s="266"/>
      <c r="C419" s="266"/>
      <c r="D419" s="266"/>
    </row>
    <row r="420">
      <c r="B420" s="266"/>
      <c r="C420" s="266"/>
      <c r="D420" s="266"/>
    </row>
    <row r="421">
      <c r="B421" s="266"/>
      <c r="C421" s="266"/>
      <c r="D421" s="266"/>
    </row>
    <row r="422">
      <c r="B422" s="266"/>
      <c r="C422" s="266"/>
      <c r="D422" s="266"/>
    </row>
    <row r="423">
      <c r="B423" s="266"/>
      <c r="C423" s="266"/>
      <c r="D423" s="266"/>
    </row>
    <row r="424">
      <c r="B424" s="266"/>
      <c r="C424" s="266"/>
      <c r="D424" s="266"/>
    </row>
    <row r="425">
      <c r="B425" s="266"/>
      <c r="C425" s="266"/>
      <c r="D425" s="266"/>
    </row>
    <row r="426">
      <c r="B426" s="266"/>
      <c r="C426" s="266"/>
      <c r="D426" s="266"/>
    </row>
    <row r="427">
      <c r="B427" s="266"/>
      <c r="C427" s="266"/>
      <c r="D427" s="266"/>
    </row>
    <row r="428">
      <c r="B428" s="266"/>
      <c r="C428" s="266"/>
      <c r="D428" s="266"/>
    </row>
    <row r="429">
      <c r="B429" s="266"/>
      <c r="C429" s="266"/>
      <c r="D429" s="266"/>
    </row>
    <row r="430">
      <c r="B430" s="266"/>
      <c r="C430" s="266"/>
      <c r="D430" s="266"/>
    </row>
    <row r="431">
      <c r="B431" s="266"/>
      <c r="C431" s="266"/>
      <c r="D431" s="266"/>
    </row>
    <row r="432">
      <c r="B432" s="266"/>
      <c r="C432" s="266"/>
      <c r="D432" s="266"/>
    </row>
    <row r="433">
      <c r="B433" s="266"/>
      <c r="C433" s="266"/>
      <c r="D433" s="266"/>
    </row>
    <row r="434">
      <c r="B434" s="266"/>
      <c r="C434" s="266"/>
      <c r="D434" s="266"/>
    </row>
    <row r="435">
      <c r="B435" s="266"/>
      <c r="C435" s="266"/>
      <c r="D435" s="266"/>
    </row>
    <row r="436">
      <c r="B436" s="266"/>
      <c r="C436" s="266"/>
      <c r="D436" s="266"/>
    </row>
    <row r="437">
      <c r="B437" s="266"/>
      <c r="C437" s="266"/>
      <c r="D437" s="266"/>
    </row>
    <row r="438">
      <c r="B438" s="266"/>
      <c r="C438" s="266"/>
      <c r="D438" s="266"/>
    </row>
    <row r="439">
      <c r="B439" s="266"/>
      <c r="C439" s="266"/>
      <c r="D439" s="266"/>
    </row>
    <row r="440">
      <c r="B440" s="266"/>
      <c r="C440" s="266"/>
      <c r="D440" s="266"/>
    </row>
    <row r="441">
      <c r="B441" s="266"/>
      <c r="C441" s="266"/>
      <c r="D441" s="266"/>
    </row>
    <row r="442">
      <c r="B442" s="266"/>
      <c r="C442" s="266"/>
      <c r="D442" s="266"/>
    </row>
    <row r="443">
      <c r="B443" s="266"/>
      <c r="C443" s="266"/>
      <c r="D443" s="266"/>
    </row>
    <row r="444">
      <c r="B444" s="266"/>
      <c r="C444" s="266"/>
      <c r="D444" s="266"/>
    </row>
    <row r="445">
      <c r="B445" s="266"/>
      <c r="C445" s="266"/>
      <c r="D445" s="266"/>
    </row>
    <row r="446">
      <c r="B446" s="266"/>
      <c r="C446" s="266"/>
      <c r="D446" s="266"/>
    </row>
    <row r="447">
      <c r="B447" s="266"/>
      <c r="C447" s="266"/>
      <c r="D447" s="266"/>
    </row>
    <row r="448">
      <c r="B448" s="266"/>
      <c r="C448" s="266"/>
      <c r="D448" s="266"/>
    </row>
    <row r="449">
      <c r="B449" s="266"/>
      <c r="C449" s="266"/>
      <c r="D449" s="266"/>
    </row>
    <row r="450">
      <c r="B450" s="266"/>
      <c r="C450" s="266"/>
      <c r="D450" s="266"/>
    </row>
    <row r="451">
      <c r="B451" s="266"/>
      <c r="C451" s="266"/>
      <c r="D451" s="266"/>
    </row>
    <row r="452">
      <c r="B452" s="266"/>
      <c r="C452" s="266"/>
      <c r="D452" s="266"/>
    </row>
    <row r="453">
      <c r="B453" s="266"/>
      <c r="C453" s="266"/>
      <c r="D453" s="266"/>
    </row>
    <row r="454">
      <c r="B454" s="266"/>
      <c r="C454" s="266"/>
      <c r="D454" s="266"/>
    </row>
    <row r="455">
      <c r="B455" s="266"/>
      <c r="C455" s="266"/>
      <c r="D455" s="266"/>
    </row>
    <row r="456">
      <c r="B456" s="266"/>
      <c r="C456" s="266"/>
      <c r="D456" s="266"/>
    </row>
    <row r="457">
      <c r="B457" s="266"/>
      <c r="C457" s="266"/>
      <c r="D457" s="266"/>
    </row>
    <row r="458">
      <c r="B458" s="266"/>
      <c r="C458" s="266"/>
      <c r="D458" s="266"/>
    </row>
    <row r="459">
      <c r="B459" s="266"/>
      <c r="C459" s="266"/>
      <c r="D459" s="266"/>
    </row>
    <row r="460">
      <c r="B460" s="266"/>
      <c r="C460" s="266"/>
      <c r="D460" s="266"/>
    </row>
    <row r="461">
      <c r="B461" s="266"/>
      <c r="C461" s="266"/>
      <c r="D461" s="266"/>
    </row>
    <row r="462">
      <c r="B462" s="266"/>
      <c r="C462" s="266"/>
      <c r="D462" s="266"/>
    </row>
    <row r="463">
      <c r="B463" s="266"/>
      <c r="C463" s="266"/>
      <c r="D463" s="266"/>
    </row>
    <row r="464">
      <c r="B464" s="266"/>
      <c r="C464" s="266"/>
      <c r="D464" s="266"/>
    </row>
    <row r="465">
      <c r="B465" s="266"/>
      <c r="C465" s="266"/>
      <c r="D465" s="266"/>
    </row>
    <row r="466">
      <c r="B466" s="266"/>
      <c r="C466" s="266"/>
      <c r="D466" s="266"/>
    </row>
    <row r="467">
      <c r="B467" s="266"/>
      <c r="C467" s="266"/>
      <c r="D467" s="266"/>
    </row>
    <row r="468">
      <c r="B468" s="266"/>
      <c r="C468" s="266"/>
      <c r="D468" s="266"/>
    </row>
    <row r="469">
      <c r="B469" s="266"/>
      <c r="C469" s="266"/>
      <c r="D469" s="266"/>
    </row>
    <row r="470">
      <c r="B470" s="266"/>
      <c r="C470" s="266"/>
      <c r="D470" s="266"/>
    </row>
    <row r="471">
      <c r="B471" s="266"/>
      <c r="C471" s="266"/>
      <c r="D471" s="266"/>
    </row>
    <row r="472">
      <c r="B472" s="266"/>
      <c r="C472" s="266"/>
      <c r="D472" s="266"/>
    </row>
    <row r="473">
      <c r="B473" s="266"/>
      <c r="C473" s="266"/>
      <c r="D473" s="266"/>
    </row>
    <row r="474">
      <c r="B474" s="266"/>
      <c r="C474" s="266"/>
      <c r="D474" s="266"/>
    </row>
    <row r="475">
      <c r="B475" s="266"/>
      <c r="C475" s="266"/>
      <c r="D475" s="266"/>
    </row>
    <row r="476">
      <c r="B476" s="266"/>
      <c r="C476" s="266"/>
      <c r="D476" s="266"/>
    </row>
    <row r="477">
      <c r="B477" s="266"/>
      <c r="C477" s="266"/>
      <c r="D477" s="266"/>
    </row>
    <row r="478">
      <c r="B478" s="266"/>
      <c r="C478" s="266"/>
      <c r="D478" s="266"/>
    </row>
    <row r="479">
      <c r="B479" s="266"/>
      <c r="C479" s="266"/>
      <c r="D479" s="266"/>
    </row>
    <row r="480">
      <c r="B480" s="266"/>
      <c r="C480" s="266"/>
      <c r="D480" s="266"/>
    </row>
    <row r="481">
      <c r="B481" s="266"/>
      <c r="C481" s="266"/>
      <c r="D481" s="266"/>
    </row>
    <row r="482">
      <c r="B482" s="266"/>
      <c r="C482" s="266"/>
      <c r="D482" s="266"/>
    </row>
    <row r="483">
      <c r="B483" s="266"/>
      <c r="C483" s="266"/>
      <c r="D483" s="266"/>
    </row>
    <row r="484">
      <c r="B484" s="266"/>
      <c r="C484" s="266"/>
      <c r="D484" s="266"/>
    </row>
    <row r="485">
      <c r="B485" s="266"/>
      <c r="C485" s="266"/>
      <c r="D485" s="266"/>
    </row>
    <row r="486">
      <c r="B486" s="266"/>
      <c r="C486" s="266"/>
      <c r="D486" s="266"/>
    </row>
    <row r="487">
      <c r="B487" s="266"/>
      <c r="C487" s="266"/>
      <c r="D487" s="266"/>
    </row>
    <row r="488">
      <c r="B488" s="266"/>
      <c r="C488" s="266"/>
      <c r="D488" s="266"/>
    </row>
    <row r="489">
      <c r="B489" s="266"/>
      <c r="C489" s="266"/>
      <c r="D489" s="266"/>
    </row>
    <row r="490">
      <c r="B490" s="266"/>
      <c r="C490" s="266"/>
      <c r="D490" s="266"/>
    </row>
    <row r="491">
      <c r="B491" s="266"/>
      <c r="C491" s="266"/>
      <c r="D491" s="266"/>
    </row>
    <row r="492">
      <c r="B492" s="266"/>
      <c r="C492" s="266"/>
      <c r="D492" s="266"/>
    </row>
    <row r="493">
      <c r="B493" s="266"/>
      <c r="C493" s="266"/>
      <c r="D493" s="266"/>
    </row>
    <row r="494">
      <c r="B494" s="266"/>
      <c r="C494" s="266"/>
      <c r="D494" s="266"/>
    </row>
    <row r="495">
      <c r="B495" s="266"/>
      <c r="C495" s="266"/>
      <c r="D495" s="266"/>
    </row>
    <row r="496">
      <c r="B496" s="266"/>
      <c r="C496" s="266"/>
      <c r="D496" s="266"/>
    </row>
    <row r="497">
      <c r="B497" s="266"/>
      <c r="C497" s="266"/>
      <c r="D497" s="266"/>
    </row>
    <row r="498">
      <c r="B498" s="266"/>
      <c r="C498" s="266"/>
      <c r="D498" s="266"/>
    </row>
    <row r="499">
      <c r="B499" s="266"/>
      <c r="C499" s="266"/>
      <c r="D499" s="266"/>
    </row>
    <row r="500">
      <c r="B500" s="266"/>
      <c r="C500" s="266"/>
      <c r="D500" s="266"/>
    </row>
    <row r="501">
      <c r="B501" s="266"/>
      <c r="C501" s="266"/>
      <c r="D501" s="266"/>
    </row>
    <row r="502">
      <c r="B502" s="266"/>
      <c r="C502" s="266"/>
      <c r="D502" s="266"/>
    </row>
    <row r="503">
      <c r="B503" s="266"/>
      <c r="C503" s="266"/>
      <c r="D503" s="266"/>
    </row>
    <row r="504">
      <c r="B504" s="266"/>
      <c r="C504" s="266"/>
      <c r="D504" s="266"/>
    </row>
    <row r="505">
      <c r="B505" s="266"/>
      <c r="C505" s="266"/>
      <c r="D505" s="266"/>
    </row>
    <row r="506">
      <c r="B506" s="266"/>
      <c r="C506" s="266"/>
      <c r="D506" s="266"/>
    </row>
    <row r="507">
      <c r="B507" s="266"/>
      <c r="C507" s="266"/>
      <c r="D507" s="266"/>
    </row>
    <row r="508">
      <c r="B508" s="266"/>
      <c r="C508" s="266"/>
      <c r="D508" s="266"/>
    </row>
    <row r="509">
      <c r="B509" s="266"/>
      <c r="C509" s="266"/>
      <c r="D509" s="266"/>
    </row>
    <row r="510">
      <c r="B510" s="266"/>
      <c r="C510" s="266"/>
      <c r="D510" s="266"/>
    </row>
    <row r="511">
      <c r="B511" s="266"/>
      <c r="C511" s="266"/>
      <c r="D511" s="266"/>
    </row>
    <row r="512">
      <c r="B512" s="266"/>
      <c r="C512" s="266"/>
      <c r="D512" s="266"/>
    </row>
    <row r="513">
      <c r="B513" s="266"/>
      <c r="C513" s="266"/>
      <c r="D513" s="266"/>
    </row>
    <row r="514">
      <c r="B514" s="266"/>
      <c r="C514" s="266"/>
      <c r="D514" s="266"/>
    </row>
    <row r="515">
      <c r="B515" s="266"/>
      <c r="C515" s="266"/>
      <c r="D515" s="266"/>
    </row>
    <row r="516">
      <c r="B516" s="266"/>
      <c r="C516" s="266"/>
      <c r="D516" s="266"/>
    </row>
    <row r="517">
      <c r="B517" s="266"/>
      <c r="C517" s="266"/>
      <c r="D517" s="266"/>
    </row>
    <row r="518">
      <c r="B518" s="266"/>
      <c r="C518" s="266"/>
      <c r="D518" s="266"/>
    </row>
    <row r="519">
      <c r="B519" s="266"/>
      <c r="C519" s="266"/>
      <c r="D519" s="266"/>
    </row>
    <row r="520">
      <c r="B520" s="266"/>
      <c r="C520" s="266"/>
      <c r="D520" s="266"/>
    </row>
    <row r="521">
      <c r="B521" s="266"/>
      <c r="C521" s="266"/>
      <c r="D521" s="266"/>
    </row>
    <row r="522">
      <c r="B522" s="266"/>
      <c r="C522" s="266"/>
      <c r="D522" s="266"/>
    </row>
    <row r="523">
      <c r="B523" s="266"/>
      <c r="C523" s="266"/>
      <c r="D523" s="266"/>
    </row>
    <row r="524">
      <c r="B524" s="266"/>
      <c r="C524" s="266"/>
      <c r="D524" s="266"/>
    </row>
    <row r="525">
      <c r="B525" s="266"/>
      <c r="C525" s="266"/>
      <c r="D525" s="266"/>
    </row>
    <row r="526">
      <c r="B526" s="266"/>
      <c r="C526" s="266"/>
      <c r="D526" s="266"/>
    </row>
    <row r="527">
      <c r="B527" s="266"/>
      <c r="C527" s="266"/>
      <c r="D527" s="266"/>
    </row>
    <row r="528">
      <c r="B528" s="266"/>
      <c r="C528" s="266"/>
      <c r="D528" s="266"/>
    </row>
    <row r="529">
      <c r="B529" s="266"/>
      <c r="C529" s="266"/>
      <c r="D529" s="266"/>
    </row>
    <row r="530">
      <c r="B530" s="266"/>
      <c r="C530" s="266"/>
      <c r="D530" s="266"/>
    </row>
    <row r="531">
      <c r="B531" s="266"/>
      <c r="C531" s="266"/>
      <c r="D531" s="266"/>
    </row>
    <row r="532">
      <c r="B532" s="266"/>
      <c r="C532" s="266"/>
      <c r="D532" s="266"/>
    </row>
    <row r="533">
      <c r="B533" s="266"/>
      <c r="C533" s="266"/>
      <c r="D533" s="266"/>
    </row>
    <row r="534">
      <c r="B534" s="266"/>
      <c r="C534" s="266"/>
      <c r="D534" s="266"/>
    </row>
    <row r="535">
      <c r="B535" s="266"/>
      <c r="C535" s="266"/>
      <c r="D535" s="266"/>
    </row>
    <row r="536">
      <c r="B536" s="266"/>
      <c r="C536" s="266"/>
      <c r="D536" s="266"/>
    </row>
    <row r="537">
      <c r="B537" s="266"/>
      <c r="C537" s="266"/>
      <c r="D537" s="266"/>
    </row>
    <row r="538">
      <c r="B538" s="266"/>
      <c r="C538" s="266"/>
      <c r="D538" s="266"/>
    </row>
    <row r="539">
      <c r="B539" s="266"/>
      <c r="C539" s="266"/>
      <c r="D539" s="266"/>
    </row>
    <row r="540">
      <c r="B540" s="266"/>
      <c r="C540" s="266"/>
      <c r="D540" s="266"/>
    </row>
    <row r="541">
      <c r="B541" s="266"/>
      <c r="C541" s="266"/>
      <c r="D541" s="266"/>
    </row>
    <row r="542">
      <c r="B542" s="266"/>
      <c r="C542" s="266"/>
      <c r="D542" s="266"/>
    </row>
    <row r="543">
      <c r="B543" s="266"/>
      <c r="C543" s="266"/>
      <c r="D543" s="266"/>
    </row>
    <row r="544">
      <c r="B544" s="266"/>
      <c r="C544" s="266"/>
      <c r="D544" s="266"/>
    </row>
    <row r="545">
      <c r="B545" s="266"/>
      <c r="C545" s="266"/>
      <c r="D545" s="266"/>
    </row>
    <row r="546">
      <c r="B546" s="266"/>
      <c r="C546" s="266"/>
      <c r="D546" s="266"/>
    </row>
    <row r="547">
      <c r="B547" s="266"/>
      <c r="C547" s="266"/>
      <c r="D547" s="266"/>
    </row>
    <row r="548">
      <c r="B548" s="266"/>
      <c r="C548" s="266"/>
      <c r="D548" s="266"/>
    </row>
    <row r="549">
      <c r="B549" s="266"/>
      <c r="C549" s="266"/>
      <c r="D549" s="266"/>
    </row>
    <row r="550">
      <c r="B550" s="266"/>
      <c r="C550" s="266"/>
      <c r="D550" s="266"/>
    </row>
    <row r="551">
      <c r="B551" s="266"/>
      <c r="C551" s="266"/>
      <c r="D551" s="266"/>
    </row>
    <row r="552">
      <c r="B552" s="266"/>
      <c r="C552" s="266"/>
      <c r="D552" s="266"/>
    </row>
    <row r="553">
      <c r="B553" s="266"/>
      <c r="C553" s="266"/>
      <c r="D553" s="266"/>
    </row>
    <row r="554">
      <c r="B554" s="266"/>
      <c r="C554" s="266"/>
      <c r="D554" s="266"/>
    </row>
    <row r="555">
      <c r="B555" s="266"/>
      <c r="C555" s="266"/>
      <c r="D555" s="266"/>
    </row>
    <row r="556">
      <c r="B556" s="266"/>
      <c r="C556" s="266"/>
      <c r="D556" s="266"/>
    </row>
    <row r="557">
      <c r="B557" s="266"/>
      <c r="C557" s="266"/>
      <c r="D557" s="266"/>
    </row>
    <row r="558">
      <c r="B558" s="266"/>
      <c r="C558" s="266"/>
      <c r="D558" s="266"/>
    </row>
    <row r="559">
      <c r="B559" s="266"/>
      <c r="C559" s="266"/>
      <c r="D559" s="266"/>
    </row>
    <row r="560">
      <c r="B560" s="266"/>
      <c r="C560" s="266"/>
      <c r="D560" s="266"/>
    </row>
    <row r="561">
      <c r="B561" s="266"/>
      <c r="C561" s="266"/>
      <c r="D561" s="266"/>
    </row>
    <row r="562">
      <c r="B562" s="266"/>
      <c r="C562" s="266"/>
      <c r="D562" s="266"/>
    </row>
    <row r="563">
      <c r="B563" s="266"/>
      <c r="C563" s="266"/>
      <c r="D563" s="266"/>
    </row>
    <row r="564">
      <c r="B564" s="266"/>
      <c r="C564" s="266"/>
      <c r="D564" s="266"/>
    </row>
    <row r="565">
      <c r="B565" s="266"/>
      <c r="C565" s="266"/>
      <c r="D565" s="266"/>
    </row>
    <row r="566">
      <c r="B566" s="266"/>
      <c r="C566" s="266"/>
      <c r="D566" s="266"/>
    </row>
    <row r="567">
      <c r="B567" s="266"/>
      <c r="C567" s="266"/>
      <c r="D567" s="266"/>
    </row>
    <row r="568">
      <c r="B568" s="266"/>
      <c r="C568" s="266"/>
      <c r="D568" s="266"/>
    </row>
    <row r="569">
      <c r="B569" s="266"/>
      <c r="C569" s="266"/>
      <c r="D569" s="266"/>
    </row>
    <row r="570">
      <c r="B570" s="266"/>
      <c r="C570" s="266"/>
      <c r="D570" s="266"/>
    </row>
    <row r="571">
      <c r="B571" s="266"/>
      <c r="C571" s="266"/>
      <c r="D571" s="266"/>
    </row>
    <row r="572">
      <c r="B572" s="266"/>
      <c r="C572" s="266"/>
      <c r="D572" s="266"/>
    </row>
    <row r="573">
      <c r="B573" s="266"/>
      <c r="C573" s="266"/>
      <c r="D573" s="266"/>
    </row>
    <row r="574">
      <c r="B574" s="266"/>
      <c r="C574" s="266"/>
      <c r="D574" s="266"/>
    </row>
    <row r="575">
      <c r="B575" s="266"/>
      <c r="C575" s="266"/>
      <c r="D575" s="266"/>
    </row>
    <row r="576">
      <c r="B576" s="266"/>
      <c r="C576" s="266"/>
      <c r="D576" s="266"/>
    </row>
    <row r="577">
      <c r="B577" s="266"/>
      <c r="C577" s="266"/>
      <c r="D577" s="266"/>
    </row>
    <row r="578">
      <c r="B578" s="266"/>
      <c r="C578" s="266"/>
      <c r="D578" s="266"/>
    </row>
    <row r="579">
      <c r="B579" s="266"/>
      <c r="C579" s="266"/>
      <c r="D579" s="266"/>
    </row>
    <row r="580">
      <c r="B580" s="266"/>
      <c r="C580" s="266"/>
      <c r="D580" s="266"/>
    </row>
    <row r="581">
      <c r="B581" s="266"/>
      <c r="C581" s="266"/>
      <c r="D581" s="266"/>
    </row>
    <row r="582">
      <c r="B582" s="266"/>
      <c r="C582" s="266"/>
      <c r="D582" s="266"/>
    </row>
    <row r="583">
      <c r="B583" s="266"/>
      <c r="C583" s="266"/>
      <c r="D583" s="266"/>
    </row>
    <row r="584">
      <c r="B584" s="266"/>
      <c r="C584" s="266"/>
      <c r="D584" s="266"/>
    </row>
    <row r="585">
      <c r="B585" s="266"/>
      <c r="C585" s="266"/>
      <c r="D585" s="266"/>
    </row>
    <row r="586">
      <c r="B586" s="266"/>
      <c r="C586" s="266"/>
      <c r="D586" s="266"/>
    </row>
    <row r="587">
      <c r="B587" s="266"/>
      <c r="C587" s="266"/>
      <c r="D587" s="266"/>
    </row>
    <row r="588">
      <c r="B588" s="266"/>
      <c r="C588" s="266"/>
      <c r="D588" s="266"/>
    </row>
    <row r="589">
      <c r="B589" s="266"/>
      <c r="C589" s="266"/>
      <c r="D589" s="266"/>
    </row>
    <row r="590">
      <c r="B590" s="266"/>
      <c r="C590" s="266"/>
      <c r="D590" s="266"/>
    </row>
    <row r="591">
      <c r="B591" s="266"/>
      <c r="C591" s="266"/>
      <c r="D591" s="266"/>
    </row>
    <row r="592">
      <c r="B592" s="266"/>
      <c r="C592" s="266"/>
      <c r="D592" s="266"/>
    </row>
    <row r="593">
      <c r="B593" s="266"/>
      <c r="C593" s="266"/>
      <c r="D593" s="266"/>
    </row>
    <row r="594">
      <c r="B594" s="266"/>
      <c r="C594" s="266"/>
      <c r="D594" s="266"/>
    </row>
    <row r="595">
      <c r="B595" s="266"/>
      <c r="C595" s="266"/>
      <c r="D595" s="266"/>
    </row>
    <row r="596">
      <c r="B596" s="266"/>
      <c r="C596" s="266"/>
      <c r="D596" s="266"/>
    </row>
    <row r="597">
      <c r="B597" s="266"/>
      <c r="C597" s="266"/>
      <c r="D597" s="266"/>
    </row>
    <row r="598">
      <c r="B598" s="266"/>
      <c r="C598" s="266"/>
      <c r="D598" s="266"/>
    </row>
    <row r="599">
      <c r="B599" s="266"/>
      <c r="C599" s="266"/>
      <c r="D599" s="266"/>
    </row>
    <row r="600">
      <c r="B600" s="266"/>
      <c r="C600" s="266"/>
      <c r="D600" s="266"/>
    </row>
    <row r="601">
      <c r="B601" s="266"/>
      <c r="C601" s="266"/>
      <c r="D601" s="266"/>
    </row>
    <row r="602">
      <c r="B602" s="266"/>
      <c r="C602" s="266"/>
      <c r="D602" s="266"/>
    </row>
    <row r="603">
      <c r="B603" s="266"/>
      <c r="C603" s="266"/>
      <c r="D603" s="266"/>
    </row>
    <row r="604">
      <c r="B604" s="266"/>
      <c r="C604" s="266"/>
      <c r="D604" s="266"/>
    </row>
    <row r="605">
      <c r="B605" s="266"/>
      <c r="C605" s="266"/>
      <c r="D605" s="266"/>
    </row>
    <row r="606">
      <c r="B606" s="266"/>
      <c r="C606" s="266"/>
      <c r="D606" s="266"/>
    </row>
    <row r="607">
      <c r="B607" s="266"/>
      <c r="C607" s="266"/>
      <c r="D607" s="266"/>
    </row>
    <row r="608">
      <c r="B608" s="266"/>
      <c r="C608" s="266"/>
      <c r="D608" s="266"/>
    </row>
    <row r="609">
      <c r="B609" s="266"/>
      <c r="C609" s="266"/>
      <c r="D609" s="266"/>
    </row>
    <row r="610">
      <c r="B610" s="266"/>
      <c r="C610" s="266"/>
      <c r="D610" s="266"/>
    </row>
    <row r="611">
      <c r="B611" s="266"/>
      <c r="C611" s="266"/>
      <c r="D611" s="266"/>
    </row>
    <row r="612">
      <c r="B612" s="266"/>
      <c r="C612" s="266"/>
      <c r="D612" s="266"/>
    </row>
    <row r="613">
      <c r="B613" s="266"/>
      <c r="C613" s="266"/>
      <c r="D613" s="266"/>
    </row>
    <row r="614">
      <c r="B614" s="266"/>
      <c r="C614" s="266"/>
      <c r="D614" s="266"/>
    </row>
    <row r="615">
      <c r="B615" s="266"/>
      <c r="C615" s="266"/>
      <c r="D615" s="266"/>
    </row>
    <row r="616">
      <c r="B616" s="266"/>
      <c r="C616" s="266"/>
      <c r="D616" s="266"/>
    </row>
    <row r="617">
      <c r="B617" s="266"/>
      <c r="C617" s="266"/>
      <c r="D617" s="266"/>
    </row>
    <row r="618">
      <c r="B618" s="266"/>
      <c r="C618" s="266"/>
      <c r="D618" s="266"/>
    </row>
    <row r="619">
      <c r="B619" s="266"/>
      <c r="C619" s="266"/>
      <c r="D619" s="266"/>
    </row>
    <row r="620">
      <c r="B620" s="266"/>
      <c r="C620" s="266"/>
      <c r="D620" s="266"/>
    </row>
    <row r="621">
      <c r="B621" s="266"/>
      <c r="C621" s="266"/>
      <c r="D621" s="266"/>
    </row>
    <row r="622">
      <c r="B622" s="266"/>
      <c r="C622" s="266"/>
      <c r="D622" s="266"/>
    </row>
    <row r="623">
      <c r="B623" s="266"/>
      <c r="C623" s="266"/>
      <c r="D623" s="266"/>
    </row>
    <row r="624">
      <c r="B624" s="266"/>
      <c r="C624" s="266"/>
      <c r="D624" s="266"/>
    </row>
    <row r="625">
      <c r="B625" s="266"/>
      <c r="C625" s="266"/>
      <c r="D625" s="266"/>
    </row>
    <row r="626">
      <c r="B626" s="266"/>
      <c r="C626" s="266"/>
      <c r="D626" s="266"/>
    </row>
    <row r="627">
      <c r="B627" s="266"/>
      <c r="C627" s="266"/>
      <c r="D627" s="266"/>
    </row>
    <row r="628">
      <c r="B628" s="266"/>
      <c r="C628" s="266"/>
      <c r="D628" s="266"/>
    </row>
    <row r="629">
      <c r="B629" s="266"/>
      <c r="C629" s="266"/>
      <c r="D629" s="266"/>
    </row>
    <row r="630">
      <c r="B630" s="266"/>
      <c r="C630" s="266"/>
      <c r="D630" s="266"/>
    </row>
    <row r="631">
      <c r="B631" s="266"/>
      <c r="C631" s="266"/>
      <c r="D631" s="266"/>
    </row>
    <row r="632">
      <c r="B632" s="266"/>
      <c r="C632" s="266"/>
      <c r="D632" s="266"/>
    </row>
    <row r="633">
      <c r="B633" s="266"/>
      <c r="C633" s="266"/>
      <c r="D633" s="266"/>
    </row>
    <row r="634">
      <c r="B634" s="266"/>
      <c r="C634" s="266"/>
      <c r="D634" s="266"/>
    </row>
    <row r="635">
      <c r="B635" s="266"/>
      <c r="C635" s="266"/>
      <c r="D635" s="266"/>
    </row>
    <row r="636">
      <c r="B636" s="266"/>
      <c r="C636" s="266"/>
      <c r="D636" s="266"/>
    </row>
    <row r="637">
      <c r="B637" s="266"/>
      <c r="C637" s="266"/>
      <c r="D637" s="266"/>
    </row>
    <row r="638">
      <c r="B638" s="266"/>
      <c r="C638" s="266"/>
      <c r="D638" s="266"/>
    </row>
    <row r="639">
      <c r="B639" s="266"/>
      <c r="C639" s="266"/>
      <c r="D639" s="266"/>
    </row>
    <row r="640">
      <c r="B640" s="266"/>
      <c r="C640" s="266"/>
      <c r="D640" s="266"/>
    </row>
    <row r="641">
      <c r="B641" s="266"/>
      <c r="C641" s="266"/>
      <c r="D641" s="266"/>
    </row>
    <row r="642">
      <c r="B642" s="266"/>
      <c r="C642" s="266"/>
      <c r="D642" s="266"/>
    </row>
    <row r="643">
      <c r="B643" s="266"/>
      <c r="C643" s="266"/>
      <c r="D643" s="266"/>
    </row>
    <row r="644">
      <c r="B644" s="266"/>
      <c r="C644" s="266"/>
      <c r="D644" s="266"/>
    </row>
    <row r="645">
      <c r="B645" s="266"/>
      <c r="C645" s="266"/>
      <c r="D645" s="266"/>
    </row>
    <row r="646">
      <c r="B646" s="266"/>
      <c r="C646" s="266"/>
      <c r="D646" s="266"/>
    </row>
    <row r="647">
      <c r="B647" s="266"/>
      <c r="C647" s="266"/>
      <c r="D647" s="266"/>
    </row>
    <row r="648">
      <c r="B648" s="266"/>
      <c r="C648" s="266"/>
      <c r="D648" s="266"/>
    </row>
    <row r="649">
      <c r="B649" s="266"/>
      <c r="C649" s="266"/>
      <c r="D649" s="266"/>
    </row>
    <row r="650">
      <c r="B650" s="266"/>
      <c r="C650" s="266"/>
      <c r="D650" s="266"/>
    </row>
    <row r="651">
      <c r="B651" s="266"/>
      <c r="C651" s="266"/>
      <c r="D651" s="266"/>
    </row>
    <row r="652">
      <c r="B652" s="266"/>
      <c r="C652" s="266"/>
      <c r="D652" s="266"/>
    </row>
    <row r="653">
      <c r="B653" s="266"/>
      <c r="C653" s="266"/>
      <c r="D653" s="266"/>
    </row>
    <row r="654">
      <c r="B654" s="266"/>
      <c r="C654" s="266"/>
      <c r="D654" s="266"/>
    </row>
    <row r="655">
      <c r="B655" s="266"/>
      <c r="C655" s="266"/>
      <c r="D655" s="266"/>
    </row>
    <row r="656">
      <c r="B656" s="266"/>
      <c r="C656" s="266"/>
      <c r="D656" s="266"/>
    </row>
    <row r="657">
      <c r="B657" s="266"/>
      <c r="C657" s="266"/>
      <c r="D657" s="266"/>
    </row>
    <row r="658">
      <c r="B658" s="266"/>
      <c r="C658" s="266"/>
      <c r="D658" s="266"/>
    </row>
    <row r="659">
      <c r="B659" s="266"/>
      <c r="C659" s="266"/>
      <c r="D659" s="266"/>
    </row>
    <row r="660">
      <c r="B660" s="266"/>
      <c r="C660" s="266"/>
      <c r="D660" s="266"/>
    </row>
    <row r="661">
      <c r="B661" s="266"/>
      <c r="C661" s="266"/>
      <c r="D661" s="266"/>
    </row>
    <row r="662">
      <c r="B662" s="266"/>
      <c r="C662" s="266"/>
      <c r="D662" s="266"/>
    </row>
    <row r="663">
      <c r="B663" s="266"/>
      <c r="C663" s="266"/>
      <c r="D663" s="266"/>
    </row>
    <row r="664">
      <c r="B664" s="266"/>
      <c r="C664" s="266"/>
      <c r="D664" s="266"/>
    </row>
    <row r="665">
      <c r="B665" s="266"/>
      <c r="C665" s="266"/>
      <c r="D665" s="266"/>
    </row>
    <row r="666">
      <c r="B666" s="266"/>
      <c r="C666" s="266"/>
      <c r="D666" s="266"/>
    </row>
    <row r="667">
      <c r="B667" s="266"/>
      <c r="C667" s="266"/>
      <c r="D667" s="266"/>
    </row>
    <row r="668">
      <c r="B668" s="266"/>
      <c r="C668" s="266"/>
      <c r="D668" s="266"/>
    </row>
    <row r="669">
      <c r="B669" s="266"/>
      <c r="C669" s="266"/>
      <c r="D669" s="266"/>
    </row>
    <row r="670">
      <c r="B670" s="266"/>
      <c r="C670" s="266"/>
      <c r="D670" s="266"/>
    </row>
    <row r="671">
      <c r="B671" s="266"/>
      <c r="C671" s="266"/>
      <c r="D671" s="266"/>
    </row>
    <row r="672">
      <c r="B672" s="266"/>
      <c r="C672" s="266"/>
      <c r="D672" s="266"/>
    </row>
    <row r="673">
      <c r="B673" s="266"/>
      <c r="C673" s="266"/>
      <c r="D673" s="266"/>
    </row>
    <row r="674">
      <c r="B674" s="266"/>
      <c r="C674" s="266"/>
      <c r="D674" s="266"/>
    </row>
    <row r="675">
      <c r="B675" s="266"/>
      <c r="C675" s="266"/>
      <c r="D675" s="266"/>
    </row>
    <row r="676">
      <c r="B676" s="266"/>
      <c r="C676" s="266"/>
      <c r="D676" s="266"/>
    </row>
    <row r="677">
      <c r="B677" s="266"/>
      <c r="C677" s="266"/>
      <c r="D677" s="266"/>
    </row>
    <row r="678">
      <c r="B678" s="266"/>
      <c r="C678" s="266"/>
      <c r="D678" s="266"/>
    </row>
    <row r="679">
      <c r="B679" s="266"/>
      <c r="C679" s="266"/>
      <c r="D679" s="266"/>
    </row>
    <row r="680">
      <c r="B680" s="266"/>
      <c r="C680" s="266"/>
      <c r="D680" s="266"/>
    </row>
    <row r="681">
      <c r="B681" s="266"/>
      <c r="C681" s="266"/>
      <c r="D681" s="266"/>
    </row>
    <row r="682">
      <c r="B682" s="266"/>
      <c r="C682" s="266"/>
      <c r="D682" s="266"/>
    </row>
    <row r="683">
      <c r="B683" s="266"/>
      <c r="C683" s="266"/>
      <c r="D683" s="266"/>
    </row>
    <row r="684">
      <c r="B684" s="266"/>
      <c r="C684" s="266"/>
      <c r="D684" s="266"/>
    </row>
    <row r="685">
      <c r="B685" s="266"/>
      <c r="C685" s="266"/>
      <c r="D685" s="266"/>
    </row>
    <row r="686">
      <c r="B686" s="266"/>
      <c r="C686" s="266"/>
      <c r="D686" s="266"/>
    </row>
    <row r="687">
      <c r="B687" s="266"/>
      <c r="C687" s="266"/>
      <c r="D687" s="266"/>
    </row>
    <row r="688">
      <c r="B688" s="266"/>
      <c r="C688" s="266"/>
      <c r="D688" s="266"/>
    </row>
    <row r="689">
      <c r="B689" s="266"/>
      <c r="C689" s="266"/>
      <c r="D689" s="266"/>
    </row>
    <row r="690">
      <c r="B690" s="266"/>
      <c r="C690" s="266"/>
      <c r="D690" s="266"/>
    </row>
    <row r="691">
      <c r="B691" s="266"/>
      <c r="C691" s="266"/>
      <c r="D691" s="266"/>
    </row>
    <row r="692">
      <c r="B692" s="266"/>
      <c r="C692" s="266"/>
      <c r="D692" s="266"/>
    </row>
    <row r="693">
      <c r="B693" s="266"/>
      <c r="C693" s="266"/>
      <c r="D693" s="266"/>
    </row>
    <row r="694">
      <c r="B694" s="266"/>
      <c r="C694" s="266"/>
      <c r="D694" s="266"/>
    </row>
    <row r="695">
      <c r="B695" s="266"/>
      <c r="C695" s="266"/>
      <c r="D695" s="266"/>
    </row>
    <row r="696">
      <c r="B696" s="266"/>
      <c r="C696" s="266"/>
      <c r="D696" s="266"/>
    </row>
    <row r="697">
      <c r="B697" s="266"/>
      <c r="C697" s="266"/>
      <c r="D697" s="266"/>
    </row>
    <row r="698">
      <c r="B698" s="266"/>
      <c r="C698" s="266"/>
      <c r="D698" s="266"/>
    </row>
    <row r="699">
      <c r="B699" s="266"/>
      <c r="C699" s="266"/>
      <c r="D699" s="266"/>
    </row>
    <row r="700">
      <c r="B700" s="266"/>
      <c r="C700" s="266"/>
      <c r="D700" s="266"/>
    </row>
    <row r="701">
      <c r="B701" s="266"/>
      <c r="C701" s="266"/>
      <c r="D701" s="266"/>
    </row>
    <row r="702">
      <c r="B702" s="266"/>
      <c r="C702" s="266"/>
      <c r="D702" s="266"/>
    </row>
    <row r="703">
      <c r="B703" s="266"/>
      <c r="C703" s="266"/>
      <c r="D703" s="266"/>
    </row>
    <row r="704">
      <c r="B704" s="266"/>
      <c r="C704" s="266"/>
      <c r="D704" s="266"/>
    </row>
    <row r="705">
      <c r="B705" s="266"/>
      <c r="C705" s="266"/>
      <c r="D705" s="266"/>
    </row>
    <row r="706">
      <c r="B706" s="266"/>
      <c r="C706" s="266"/>
      <c r="D706" s="266"/>
    </row>
    <row r="707">
      <c r="B707" s="266"/>
      <c r="C707" s="266"/>
      <c r="D707" s="266"/>
    </row>
    <row r="708">
      <c r="B708" s="266"/>
      <c r="C708" s="266"/>
      <c r="D708" s="266"/>
    </row>
    <row r="709">
      <c r="B709" s="266"/>
      <c r="C709" s="266"/>
      <c r="D709" s="266"/>
    </row>
    <row r="710">
      <c r="B710" s="266"/>
      <c r="C710" s="266"/>
      <c r="D710" s="266"/>
    </row>
    <row r="711">
      <c r="B711" s="266"/>
      <c r="C711" s="266"/>
      <c r="D711" s="266"/>
    </row>
    <row r="712">
      <c r="B712" s="266"/>
      <c r="C712" s="266"/>
      <c r="D712" s="266"/>
    </row>
    <row r="713">
      <c r="B713" s="266"/>
      <c r="C713" s="266"/>
      <c r="D713" s="266"/>
    </row>
    <row r="714">
      <c r="B714" s="266"/>
      <c r="C714" s="266"/>
      <c r="D714" s="266"/>
    </row>
    <row r="715">
      <c r="B715" s="266"/>
      <c r="C715" s="266"/>
      <c r="D715" s="266"/>
    </row>
    <row r="716">
      <c r="B716" s="266"/>
      <c r="C716" s="266"/>
      <c r="D716" s="266"/>
    </row>
    <row r="717">
      <c r="B717" s="266"/>
      <c r="C717" s="266"/>
      <c r="D717" s="266"/>
    </row>
    <row r="718">
      <c r="B718" s="266"/>
      <c r="C718" s="266"/>
      <c r="D718" s="266"/>
    </row>
    <row r="719">
      <c r="B719" s="266"/>
      <c r="C719" s="266"/>
      <c r="D719" s="266"/>
    </row>
    <row r="720">
      <c r="B720" s="266"/>
      <c r="C720" s="266"/>
      <c r="D720" s="266"/>
    </row>
    <row r="721">
      <c r="B721" s="266"/>
      <c r="C721" s="266"/>
      <c r="D721" s="266"/>
    </row>
    <row r="722">
      <c r="B722" s="266"/>
      <c r="C722" s="266"/>
      <c r="D722" s="266"/>
    </row>
    <row r="723">
      <c r="B723" s="266"/>
      <c r="C723" s="266"/>
      <c r="D723" s="266"/>
    </row>
    <row r="724">
      <c r="B724" s="266"/>
      <c r="C724" s="266"/>
      <c r="D724" s="266"/>
    </row>
    <row r="725">
      <c r="B725" s="266"/>
      <c r="C725" s="266"/>
      <c r="D725" s="266"/>
    </row>
    <row r="726">
      <c r="B726" s="266"/>
      <c r="C726" s="266"/>
      <c r="D726" s="266"/>
    </row>
    <row r="727">
      <c r="B727" s="266"/>
      <c r="C727" s="266"/>
      <c r="D727" s="266"/>
    </row>
    <row r="728">
      <c r="B728" s="266"/>
      <c r="C728" s="266"/>
      <c r="D728" s="266"/>
    </row>
    <row r="729">
      <c r="B729" s="266"/>
      <c r="C729" s="266"/>
      <c r="D729" s="266"/>
    </row>
    <row r="730">
      <c r="B730" s="266"/>
      <c r="C730" s="266"/>
      <c r="D730" s="266"/>
    </row>
    <row r="731">
      <c r="B731" s="266"/>
      <c r="C731" s="266"/>
      <c r="D731" s="266"/>
    </row>
    <row r="732">
      <c r="B732" s="266"/>
      <c r="C732" s="266"/>
      <c r="D732" s="266"/>
    </row>
    <row r="733">
      <c r="B733" s="266"/>
      <c r="C733" s="266"/>
      <c r="D733" s="266"/>
    </row>
    <row r="734">
      <c r="B734" s="266"/>
      <c r="C734" s="266"/>
      <c r="D734" s="266"/>
    </row>
    <row r="735">
      <c r="B735" s="266"/>
      <c r="C735" s="266"/>
      <c r="D735" s="266"/>
    </row>
    <row r="736">
      <c r="B736" s="266"/>
      <c r="C736" s="266"/>
      <c r="D736" s="266"/>
    </row>
    <row r="737">
      <c r="B737" s="266"/>
      <c r="C737" s="266"/>
      <c r="D737" s="266"/>
    </row>
    <row r="738">
      <c r="B738" s="266"/>
      <c r="C738" s="266"/>
      <c r="D738" s="266"/>
    </row>
    <row r="739">
      <c r="B739" s="266"/>
      <c r="C739" s="266"/>
      <c r="D739" s="266"/>
    </row>
    <row r="740">
      <c r="B740" s="266"/>
      <c r="C740" s="266"/>
      <c r="D740" s="266"/>
    </row>
    <row r="741">
      <c r="B741" s="266"/>
      <c r="C741" s="266"/>
      <c r="D741" s="266"/>
    </row>
    <row r="742">
      <c r="B742" s="266"/>
      <c r="C742" s="266"/>
      <c r="D742" s="266"/>
    </row>
    <row r="743">
      <c r="B743" s="266"/>
      <c r="C743" s="266"/>
      <c r="D743" s="266"/>
    </row>
    <row r="744">
      <c r="B744" s="266"/>
      <c r="C744" s="266"/>
      <c r="D744" s="266"/>
    </row>
    <row r="745">
      <c r="B745" s="266"/>
      <c r="C745" s="266"/>
      <c r="D745" s="266"/>
    </row>
    <row r="746">
      <c r="B746" s="266"/>
      <c r="C746" s="266"/>
      <c r="D746" s="266"/>
    </row>
    <row r="747">
      <c r="B747" s="266"/>
      <c r="C747" s="266"/>
      <c r="D747" s="266"/>
    </row>
    <row r="748">
      <c r="B748" s="266"/>
      <c r="C748" s="266"/>
      <c r="D748" s="266"/>
    </row>
    <row r="749">
      <c r="B749" s="266"/>
      <c r="C749" s="266"/>
      <c r="D749" s="266"/>
    </row>
    <row r="750">
      <c r="B750" s="266"/>
      <c r="C750" s="266"/>
      <c r="D750" s="266"/>
    </row>
    <row r="751">
      <c r="B751" s="266"/>
      <c r="C751" s="266"/>
      <c r="D751" s="266"/>
    </row>
    <row r="752">
      <c r="B752" s="266"/>
      <c r="C752" s="266"/>
      <c r="D752" s="266"/>
    </row>
    <row r="753">
      <c r="B753" s="266"/>
      <c r="C753" s="266"/>
      <c r="D753" s="266"/>
    </row>
    <row r="754">
      <c r="B754" s="266"/>
      <c r="C754" s="266"/>
      <c r="D754" s="266"/>
    </row>
    <row r="755">
      <c r="B755" s="266"/>
      <c r="C755" s="266"/>
      <c r="D755" s="266"/>
    </row>
    <row r="756">
      <c r="B756" s="266"/>
      <c r="C756" s="266"/>
      <c r="D756" s="266"/>
    </row>
    <row r="757">
      <c r="B757" s="266"/>
      <c r="C757" s="266"/>
      <c r="D757" s="266"/>
    </row>
    <row r="758">
      <c r="B758" s="266"/>
      <c r="C758" s="266"/>
      <c r="D758" s="266"/>
    </row>
    <row r="759">
      <c r="B759" s="266"/>
      <c r="C759" s="266"/>
      <c r="D759" s="266"/>
    </row>
    <row r="760">
      <c r="B760" s="266"/>
      <c r="C760" s="266"/>
      <c r="D760" s="266"/>
    </row>
    <row r="761">
      <c r="B761" s="266"/>
      <c r="C761" s="266"/>
      <c r="D761" s="266"/>
    </row>
    <row r="762">
      <c r="B762" s="266"/>
      <c r="C762" s="266"/>
      <c r="D762" s="266"/>
    </row>
    <row r="763">
      <c r="B763" s="266"/>
      <c r="C763" s="266"/>
      <c r="D763" s="266"/>
    </row>
    <row r="764">
      <c r="B764" s="266"/>
      <c r="C764" s="266"/>
      <c r="D764" s="266"/>
    </row>
    <row r="765">
      <c r="B765" s="266"/>
      <c r="C765" s="266"/>
      <c r="D765" s="266"/>
    </row>
    <row r="766">
      <c r="B766" s="266"/>
      <c r="C766" s="266"/>
      <c r="D766" s="266"/>
    </row>
    <row r="767">
      <c r="B767" s="266"/>
      <c r="C767" s="266"/>
      <c r="D767" s="266"/>
    </row>
    <row r="768">
      <c r="B768" s="266"/>
      <c r="C768" s="266"/>
      <c r="D768" s="266"/>
    </row>
    <row r="769">
      <c r="B769" s="266"/>
      <c r="C769" s="266"/>
      <c r="D769" s="266"/>
    </row>
    <row r="770">
      <c r="B770" s="266"/>
      <c r="C770" s="266"/>
      <c r="D770" s="266"/>
    </row>
    <row r="771">
      <c r="B771" s="266"/>
      <c r="C771" s="266"/>
      <c r="D771" s="266"/>
    </row>
    <row r="772">
      <c r="B772" s="266"/>
      <c r="C772" s="266"/>
      <c r="D772" s="266"/>
    </row>
    <row r="773">
      <c r="B773" s="266"/>
      <c r="C773" s="266"/>
      <c r="D773" s="266"/>
    </row>
    <row r="774">
      <c r="B774" s="266"/>
      <c r="C774" s="266"/>
      <c r="D774" s="266"/>
    </row>
    <row r="775">
      <c r="B775" s="266"/>
      <c r="C775" s="266"/>
      <c r="D775" s="266"/>
    </row>
    <row r="776">
      <c r="B776" s="266"/>
      <c r="C776" s="266"/>
      <c r="D776" s="266"/>
    </row>
    <row r="777">
      <c r="B777" s="266"/>
      <c r="C777" s="266"/>
      <c r="D777" s="266"/>
    </row>
    <row r="778">
      <c r="B778" s="266"/>
      <c r="C778" s="266"/>
      <c r="D778" s="266"/>
    </row>
    <row r="779">
      <c r="B779" s="266"/>
      <c r="C779" s="266"/>
      <c r="D779" s="266"/>
    </row>
    <row r="780">
      <c r="B780" s="266"/>
      <c r="C780" s="266"/>
      <c r="D780" s="266"/>
    </row>
    <row r="781">
      <c r="B781" s="266"/>
      <c r="C781" s="266"/>
      <c r="D781" s="266"/>
    </row>
    <row r="782">
      <c r="B782" s="266"/>
      <c r="C782" s="266"/>
      <c r="D782" s="266"/>
    </row>
    <row r="783">
      <c r="B783" s="266"/>
      <c r="C783" s="266"/>
      <c r="D783" s="266"/>
    </row>
    <row r="784">
      <c r="B784" s="266"/>
      <c r="C784" s="266"/>
      <c r="D784" s="266"/>
    </row>
    <row r="785">
      <c r="B785" s="266"/>
      <c r="C785" s="266"/>
      <c r="D785" s="266"/>
    </row>
    <row r="786">
      <c r="B786" s="266"/>
      <c r="C786" s="266"/>
      <c r="D786" s="266"/>
    </row>
    <row r="787">
      <c r="B787" s="266"/>
      <c r="C787" s="266"/>
      <c r="D787" s="266"/>
    </row>
    <row r="788">
      <c r="B788" s="266"/>
      <c r="C788" s="266"/>
      <c r="D788" s="266"/>
    </row>
    <row r="789">
      <c r="B789" s="266"/>
      <c r="C789" s="266"/>
      <c r="D789" s="266"/>
    </row>
    <row r="790">
      <c r="B790" s="266"/>
      <c r="C790" s="266"/>
      <c r="D790" s="266"/>
    </row>
    <row r="791">
      <c r="B791" s="266"/>
      <c r="C791" s="266"/>
      <c r="D791" s="266"/>
    </row>
    <row r="792">
      <c r="B792" s="266"/>
      <c r="C792" s="266"/>
      <c r="D792" s="266"/>
    </row>
    <row r="793">
      <c r="B793" s="266"/>
      <c r="C793" s="266"/>
      <c r="D793" s="266"/>
    </row>
    <row r="794">
      <c r="B794" s="266"/>
      <c r="C794" s="266"/>
      <c r="D794" s="266"/>
    </row>
    <row r="795">
      <c r="B795" s="266"/>
      <c r="C795" s="266"/>
      <c r="D795" s="266"/>
    </row>
    <row r="796">
      <c r="B796" s="266"/>
      <c r="C796" s="266"/>
      <c r="D796" s="266"/>
    </row>
    <row r="797">
      <c r="B797" s="266"/>
      <c r="C797" s="266"/>
      <c r="D797" s="266"/>
    </row>
    <row r="798">
      <c r="B798" s="266"/>
      <c r="C798" s="266"/>
      <c r="D798" s="266"/>
    </row>
    <row r="799">
      <c r="B799" s="266"/>
      <c r="C799" s="266"/>
      <c r="D799" s="266"/>
    </row>
    <row r="800">
      <c r="B800" s="266"/>
      <c r="C800" s="266"/>
      <c r="D800" s="266"/>
    </row>
    <row r="801">
      <c r="B801" s="266"/>
      <c r="C801" s="266"/>
      <c r="D801" s="266"/>
    </row>
    <row r="802">
      <c r="B802" s="266"/>
      <c r="C802" s="266"/>
      <c r="D802" s="266"/>
    </row>
    <row r="803">
      <c r="B803" s="266"/>
      <c r="C803" s="266"/>
      <c r="D803" s="266"/>
    </row>
    <row r="804">
      <c r="B804" s="266"/>
      <c r="C804" s="266"/>
      <c r="D804" s="266"/>
    </row>
    <row r="805">
      <c r="B805" s="266"/>
      <c r="C805" s="266"/>
      <c r="D805" s="266"/>
    </row>
    <row r="806">
      <c r="B806" s="266"/>
      <c r="C806" s="266"/>
      <c r="D806" s="266"/>
    </row>
    <row r="807">
      <c r="B807" s="266"/>
      <c r="C807" s="266"/>
      <c r="D807" s="266"/>
    </row>
    <row r="808">
      <c r="B808" s="266"/>
      <c r="C808" s="266"/>
      <c r="D808" s="266"/>
    </row>
    <row r="809">
      <c r="B809" s="266"/>
      <c r="C809" s="266"/>
      <c r="D809" s="266"/>
    </row>
    <row r="810">
      <c r="B810" s="266"/>
      <c r="C810" s="266"/>
      <c r="D810" s="266"/>
    </row>
    <row r="811">
      <c r="B811" s="266"/>
      <c r="C811" s="266"/>
      <c r="D811" s="266"/>
    </row>
    <row r="812">
      <c r="B812" s="266"/>
      <c r="C812" s="266"/>
      <c r="D812" s="266"/>
    </row>
    <row r="813">
      <c r="B813" s="266"/>
      <c r="C813" s="266"/>
      <c r="D813" s="266"/>
    </row>
    <row r="814">
      <c r="B814" s="266"/>
      <c r="C814" s="266"/>
      <c r="D814" s="266"/>
    </row>
    <row r="815">
      <c r="B815" s="266"/>
      <c r="C815" s="266"/>
      <c r="D815" s="266"/>
    </row>
    <row r="816">
      <c r="B816" s="266"/>
      <c r="C816" s="266"/>
      <c r="D816" s="266"/>
    </row>
    <row r="817">
      <c r="B817" s="266"/>
      <c r="C817" s="266"/>
      <c r="D817" s="266"/>
    </row>
    <row r="818">
      <c r="B818" s="266"/>
      <c r="C818" s="266"/>
      <c r="D818" s="266"/>
    </row>
    <row r="819">
      <c r="B819" s="266"/>
      <c r="C819" s="266"/>
      <c r="D819" s="266"/>
    </row>
    <row r="820">
      <c r="B820" s="266"/>
      <c r="C820" s="266"/>
      <c r="D820" s="266"/>
    </row>
    <row r="821">
      <c r="B821" s="266"/>
      <c r="C821" s="266"/>
      <c r="D821" s="266"/>
    </row>
    <row r="822">
      <c r="B822" s="266"/>
      <c r="C822" s="266"/>
      <c r="D822" s="266"/>
    </row>
    <row r="823">
      <c r="B823" s="266"/>
      <c r="C823" s="266"/>
      <c r="D823" s="266"/>
    </row>
    <row r="824">
      <c r="B824" s="266"/>
      <c r="C824" s="266"/>
      <c r="D824" s="266"/>
    </row>
    <row r="825">
      <c r="B825" s="266"/>
      <c r="C825" s="266"/>
      <c r="D825" s="266"/>
    </row>
    <row r="826">
      <c r="B826" s="266"/>
      <c r="C826" s="266"/>
      <c r="D826" s="266"/>
    </row>
    <row r="827">
      <c r="B827" s="266"/>
      <c r="C827" s="266"/>
      <c r="D827" s="266"/>
    </row>
    <row r="828">
      <c r="B828" s="266"/>
      <c r="C828" s="266"/>
      <c r="D828" s="266"/>
    </row>
    <row r="829">
      <c r="B829" s="266"/>
      <c r="C829" s="266"/>
      <c r="D829" s="266"/>
    </row>
    <row r="830">
      <c r="B830" s="266"/>
      <c r="C830" s="266"/>
      <c r="D830" s="266"/>
    </row>
    <row r="831">
      <c r="B831" s="266"/>
      <c r="C831" s="266"/>
      <c r="D831" s="266"/>
    </row>
    <row r="832">
      <c r="B832" s="266"/>
      <c r="C832" s="266"/>
      <c r="D832" s="266"/>
    </row>
    <row r="833">
      <c r="B833" s="266"/>
      <c r="C833" s="266"/>
      <c r="D833" s="266"/>
    </row>
    <row r="834">
      <c r="B834" s="266"/>
      <c r="C834" s="266"/>
      <c r="D834" s="266"/>
    </row>
    <row r="835">
      <c r="B835" s="266"/>
      <c r="C835" s="266"/>
      <c r="D835" s="266"/>
    </row>
    <row r="836">
      <c r="B836" s="266"/>
      <c r="C836" s="266"/>
      <c r="D836" s="266"/>
    </row>
    <row r="837">
      <c r="B837" s="266"/>
      <c r="C837" s="266"/>
      <c r="D837" s="266"/>
    </row>
    <row r="838">
      <c r="B838" s="266"/>
      <c r="C838" s="266"/>
      <c r="D838" s="266"/>
    </row>
    <row r="839">
      <c r="B839" s="266"/>
      <c r="C839" s="266"/>
      <c r="D839" s="266"/>
    </row>
    <row r="840">
      <c r="B840" s="266"/>
      <c r="C840" s="266"/>
      <c r="D840" s="266"/>
    </row>
    <row r="841">
      <c r="B841" s="266"/>
      <c r="C841" s="266"/>
      <c r="D841" s="266"/>
    </row>
    <row r="842">
      <c r="B842" s="266"/>
      <c r="C842" s="266"/>
      <c r="D842" s="266"/>
    </row>
    <row r="843">
      <c r="B843" s="266"/>
      <c r="C843" s="266"/>
      <c r="D843" s="266"/>
    </row>
    <row r="844">
      <c r="B844" s="266"/>
      <c r="C844" s="266"/>
      <c r="D844" s="266"/>
    </row>
    <row r="845">
      <c r="B845" s="266"/>
      <c r="C845" s="266"/>
      <c r="D845" s="266"/>
    </row>
    <row r="846">
      <c r="B846" s="266"/>
      <c r="C846" s="266"/>
      <c r="D846" s="266"/>
    </row>
    <row r="847">
      <c r="B847" s="266"/>
      <c r="C847" s="266"/>
      <c r="D847" s="266"/>
    </row>
    <row r="848">
      <c r="B848" s="266"/>
      <c r="C848" s="266"/>
      <c r="D848" s="266"/>
    </row>
    <row r="849">
      <c r="B849" s="266"/>
      <c r="C849" s="266"/>
      <c r="D849" s="266"/>
    </row>
    <row r="850">
      <c r="B850" s="266"/>
      <c r="C850" s="266"/>
      <c r="D850" s="266"/>
    </row>
    <row r="851">
      <c r="B851" s="266"/>
      <c r="C851" s="266"/>
      <c r="D851" s="266"/>
    </row>
    <row r="852">
      <c r="B852" s="266"/>
      <c r="C852" s="266"/>
      <c r="D852" s="266"/>
    </row>
    <row r="853">
      <c r="B853" s="266"/>
      <c r="C853" s="266"/>
      <c r="D853" s="266"/>
    </row>
    <row r="854">
      <c r="B854" s="266"/>
      <c r="C854" s="266"/>
      <c r="D854" s="266"/>
    </row>
    <row r="855">
      <c r="B855" s="266"/>
      <c r="C855" s="266"/>
      <c r="D855" s="266"/>
    </row>
    <row r="856">
      <c r="B856" s="266"/>
      <c r="C856" s="266"/>
      <c r="D856" s="266"/>
    </row>
    <row r="857">
      <c r="B857" s="266"/>
      <c r="C857" s="266"/>
      <c r="D857" s="266"/>
    </row>
    <row r="858">
      <c r="B858" s="266"/>
      <c r="C858" s="266"/>
      <c r="D858" s="266"/>
    </row>
    <row r="859">
      <c r="B859" s="266"/>
      <c r="C859" s="266"/>
      <c r="D859" s="266"/>
    </row>
    <row r="860">
      <c r="B860" s="266"/>
      <c r="C860" s="266"/>
      <c r="D860" s="266"/>
    </row>
    <row r="861">
      <c r="B861" s="266"/>
      <c r="C861" s="266"/>
      <c r="D861" s="266"/>
    </row>
    <row r="862">
      <c r="B862" s="266"/>
      <c r="C862" s="266"/>
      <c r="D862" s="266"/>
    </row>
    <row r="863">
      <c r="B863" s="266"/>
      <c r="C863" s="266"/>
      <c r="D863" s="266"/>
    </row>
    <row r="864">
      <c r="B864" s="266"/>
      <c r="C864" s="266"/>
      <c r="D864" s="266"/>
    </row>
    <row r="865">
      <c r="B865" s="266"/>
      <c r="C865" s="266"/>
      <c r="D865" s="266"/>
    </row>
    <row r="866">
      <c r="B866" s="266"/>
      <c r="C866" s="266"/>
      <c r="D866" s="266"/>
    </row>
    <row r="867">
      <c r="B867" s="266"/>
      <c r="C867" s="266"/>
      <c r="D867" s="266"/>
    </row>
    <row r="868">
      <c r="B868" s="266"/>
      <c r="C868" s="266"/>
      <c r="D868" s="266"/>
    </row>
    <row r="869">
      <c r="B869" s="266"/>
      <c r="C869" s="266"/>
      <c r="D869" s="266"/>
    </row>
    <row r="870">
      <c r="B870" s="266"/>
      <c r="C870" s="266"/>
      <c r="D870" s="266"/>
    </row>
    <row r="871">
      <c r="B871" s="266"/>
      <c r="C871" s="266"/>
      <c r="D871" s="266"/>
    </row>
    <row r="872">
      <c r="B872" s="266"/>
      <c r="C872" s="266"/>
      <c r="D872" s="266"/>
    </row>
    <row r="873">
      <c r="B873" s="266"/>
      <c r="C873" s="266"/>
      <c r="D873" s="266"/>
    </row>
    <row r="874">
      <c r="B874" s="266"/>
      <c r="C874" s="266"/>
      <c r="D874" s="266"/>
    </row>
    <row r="875">
      <c r="B875" s="266"/>
      <c r="C875" s="266"/>
      <c r="D875" s="266"/>
    </row>
    <row r="876">
      <c r="B876" s="266"/>
      <c r="C876" s="266"/>
      <c r="D876" s="266"/>
    </row>
    <row r="877">
      <c r="B877" s="266"/>
      <c r="C877" s="266"/>
      <c r="D877" s="266"/>
    </row>
    <row r="878">
      <c r="B878" s="266"/>
      <c r="C878" s="266"/>
      <c r="D878" s="266"/>
    </row>
    <row r="879">
      <c r="B879" s="266"/>
      <c r="C879" s="266"/>
      <c r="D879" s="266"/>
    </row>
    <row r="880">
      <c r="B880" s="266"/>
      <c r="C880" s="266"/>
      <c r="D880" s="266"/>
    </row>
    <row r="881">
      <c r="B881" s="266"/>
      <c r="C881" s="266"/>
      <c r="D881" s="266"/>
    </row>
    <row r="882">
      <c r="B882" s="266"/>
      <c r="C882" s="266"/>
      <c r="D882" s="266"/>
    </row>
    <row r="883">
      <c r="B883" s="266"/>
      <c r="C883" s="266"/>
      <c r="D883" s="266"/>
    </row>
    <row r="884">
      <c r="B884" s="266"/>
      <c r="C884" s="266"/>
      <c r="D884" s="266"/>
    </row>
    <row r="885">
      <c r="B885" s="266"/>
      <c r="C885" s="266"/>
      <c r="D885" s="266"/>
    </row>
    <row r="886">
      <c r="B886" s="266"/>
      <c r="C886" s="266"/>
      <c r="D886" s="266"/>
    </row>
    <row r="887">
      <c r="B887" s="266"/>
      <c r="C887" s="266"/>
      <c r="D887" s="266"/>
    </row>
    <row r="888">
      <c r="B888" s="266"/>
      <c r="C888" s="266"/>
      <c r="D888" s="266"/>
    </row>
    <row r="889">
      <c r="B889" s="266"/>
      <c r="C889" s="266"/>
      <c r="D889" s="266"/>
    </row>
    <row r="890">
      <c r="B890" s="266"/>
      <c r="C890" s="266"/>
      <c r="D890" s="266"/>
    </row>
    <row r="891">
      <c r="B891" s="266"/>
      <c r="C891" s="266"/>
      <c r="D891" s="266"/>
    </row>
    <row r="892">
      <c r="B892" s="266"/>
      <c r="C892" s="266"/>
      <c r="D892" s="266"/>
    </row>
    <row r="893">
      <c r="B893" s="266"/>
      <c r="C893" s="266"/>
      <c r="D893" s="266"/>
    </row>
    <row r="894">
      <c r="B894" s="266"/>
      <c r="C894" s="266"/>
      <c r="D894" s="266"/>
    </row>
    <row r="895">
      <c r="B895" s="266"/>
      <c r="C895" s="266"/>
      <c r="D895" s="266"/>
    </row>
    <row r="896">
      <c r="B896" s="266"/>
      <c r="C896" s="266"/>
      <c r="D896" s="266"/>
    </row>
    <row r="897">
      <c r="B897" s="266"/>
      <c r="C897" s="266"/>
      <c r="D897" s="266"/>
    </row>
    <row r="898">
      <c r="B898" s="266"/>
      <c r="C898" s="266"/>
      <c r="D898" s="266"/>
    </row>
    <row r="899">
      <c r="B899" s="266"/>
      <c r="C899" s="266"/>
      <c r="D899" s="266"/>
    </row>
    <row r="900">
      <c r="B900" s="266"/>
      <c r="C900" s="266"/>
      <c r="D900" s="266"/>
    </row>
    <row r="901">
      <c r="B901" s="266"/>
      <c r="C901" s="266"/>
      <c r="D901" s="266"/>
    </row>
    <row r="902">
      <c r="B902" s="266"/>
      <c r="C902" s="266"/>
      <c r="D902" s="266"/>
    </row>
    <row r="903">
      <c r="B903" s="266"/>
      <c r="C903" s="266"/>
      <c r="D903" s="266"/>
    </row>
    <row r="904">
      <c r="B904" s="266"/>
      <c r="C904" s="266"/>
      <c r="D904" s="266"/>
    </row>
    <row r="905">
      <c r="B905" s="266"/>
      <c r="C905" s="266"/>
      <c r="D905" s="266"/>
    </row>
    <row r="906">
      <c r="B906" s="266"/>
      <c r="C906" s="266"/>
      <c r="D906" s="266"/>
    </row>
    <row r="907">
      <c r="B907" s="266"/>
      <c r="C907" s="266"/>
      <c r="D907" s="266"/>
    </row>
    <row r="908">
      <c r="B908" s="266"/>
      <c r="C908" s="266"/>
      <c r="D908" s="266"/>
    </row>
    <row r="909">
      <c r="B909" s="266"/>
      <c r="C909" s="266"/>
      <c r="D909" s="266"/>
    </row>
    <row r="910">
      <c r="B910" s="266"/>
      <c r="C910" s="266"/>
      <c r="D910" s="266"/>
    </row>
    <row r="911">
      <c r="B911" s="266"/>
      <c r="C911" s="266"/>
      <c r="D911" s="266"/>
    </row>
    <row r="912">
      <c r="B912" s="266"/>
      <c r="C912" s="266"/>
      <c r="D912" s="266"/>
    </row>
    <row r="913">
      <c r="B913" s="266"/>
      <c r="C913" s="266"/>
      <c r="D913" s="266"/>
    </row>
    <row r="914">
      <c r="B914" s="266"/>
      <c r="C914" s="266"/>
      <c r="D914" s="266"/>
    </row>
    <row r="915">
      <c r="B915" s="266"/>
      <c r="C915" s="266"/>
      <c r="D915" s="266"/>
    </row>
    <row r="916">
      <c r="B916" s="266"/>
      <c r="C916" s="266"/>
      <c r="D916" s="266"/>
    </row>
    <row r="917">
      <c r="B917" s="266"/>
      <c r="C917" s="266"/>
      <c r="D917" s="266"/>
    </row>
    <row r="918">
      <c r="B918" s="266"/>
      <c r="C918" s="266"/>
      <c r="D918" s="266"/>
    </row>
    <row r="919">
      <c r="B919" s="266"/>
      <c r="C919" s="266"/>
      <c r="D919" s="266"/>
    </row>
    <row r="920">
      <c r="B920" s="266"/>
      <c r="C920" s="266"/>
      <c r="D920" s="266"/>
    </row>
    <row r="921">
      <c r="B921" s="266"/>
      <c r="C921" s="266"/>
      <c r="D921" s="266"/>
    </row>
    <row r="922">
      <c r="B922" s="266"/>
      <c r="C922" s="266"/>
      <c r="D922" s="266"/>
    </row>
    <row r="923">
      <c r="B923" s="266"/>
      <c r="C923" s="266"/>
      <c r="D923" s="266"/>
    </row>
    <row r="924">
      <c r="B924" s="266"/>
      <c r="C924" s="266"/>
      <c r="D924" s="266"/>
    </row>
    <row r="925">
      <c r="B925" s="266"/>
      <c r="C925" s="266"/>
      <c r="D925" s="266"/>
    </row>
    <row r="926">
      <c r="B926" s="266"/>
      <c r="C926" s="266"/>
      <c r="D926" s="266"/>
    </row>
    <row r="927">
      <c r="B927" s="266"/>
      <c r="C927" s="266"/>
      <c r="D927" s="266"/>
    </row>
    <row r="928">
      <c r="B928" s="266"/>
      <c r="C928" s="266"/>
      <c r="D928" s="266"/>
    </row>
    <row r="929">
      <c r="B929" s="266"/>
      <c r="C929" s="266"/>
      <c r="D929" s="266"/>
    </row>
    <row r="930">
      <c r="B930" s="266"/>
      <c r="C930" s="266"/>
      <c r="D930" s="266"/>
    </row>
    <row r="931">
      <c r="B931" s="266"/>
      <c r="C931" s="266"/>
      <c r="D931" s="266"/>
    </row>
    <row r="932">
      <c r="B932" s="266"/>
      <c r="C932" s="266"/>
      <c r="D932" s="266"/>
    </row>
    <row r="933">
      <c r="B933" s="266"/>
      <c r="C933" s="266"/>
      <c r="D933" s="266"/>
    </row>
    <row r="934">
      <c r="B934" s="266"/>
      <c r="C934" s="266"/>
      <c r="D934" s="266"/>
    </row>
    <row r="935">
      <c r="B935" s="266"/>
      <c r="C935" s="266"/>
      <c r="D935" s="266"/>
    </row>
    <row r="936">
      <c r="B936" s="266"/>
      <c r="C936" s="266"/>
      <c r="D936" s="266"/>
    </row>
    <row r="937">
      <c r="B937" s="266"/>
      <c r="C937" s="266"/>
      <c r="D937" s="266"/>
    </row>
    <row r="938">
      <c r="B938" s="266"/>
      <c r="C938" s="266"/>
      <c r="D938" s="266"/>
    </row>
    <row r="939">
      <c r="B939" s="266"/>
      <c r="C939" s="266"/>
      <c r="D939" s="266"/>
    </row>
    <row r="940">
      <c r="B940" s="266"/>
      <c r="C940" s="266"/>
      <c r="D940" s="266"/>
    </row>
    <row r="941">
      <c r="B941" s="266"/>
      <c r="C941" s="266"/>
      <c r="D941" s="266"/>
    </row>
    <row r="942">
      <c r="B942" s="266"/>
      <c r="C942" s="266"/>
      <c r="D942" s="266"/>
    </row>
    <row r="943">
      <c r="B943" s="266"/>
      <c r="C943" s="266"/>
      <c r="D943" s="266"/>
    </row>
    <row r="944">
      <c r="B944" s="266"/>
      <c r="C944" s="266"/>
      <c r="D944" s="266"/>
    </row>
    <row r="945">
      <c r="B945" s="266"/>
      <c r="C945" s="266"/>
      <c r="D945" s="266"/>
    </row>
    <row r="946">
      <c r="B946" s="266"/>
      <c r="C946" s="266"/>
      <c r="D946" s="266"/>
    </row>
    <row r="947">
      <c r="B947" s="266"/>
      <c r="C947" s="266"/>
      <c r="D947" s="266"/>
    </row>
    <row r="948">
      <c r="B948" s="266"/>
      <c r="C948" s="266"/>
      <c r="D948" s="266"/>
    </row>
    <row r="949">
      <c r="B949" s="266"/>
      <c r="C949" s="266"/>
      <c r="D949" s="266"/>
    </row>
    <row r="950">
      <c r="B950" s="266"/>
      <c r="C950" s="266"/>
      <c r="D950" s="266"/>
    </row>
    <row r="951">
      <c r="B951" s="266"/>
      <c r="C951" s="266"/>
      <c r="D951" s="266"/>
    </row>
    <row r="952">
      <c r="B952" s="266"/>
      <c r="C952" s="266"/>
      <c r="D952" s="266"/>
    </row>
    <row r="953">
      <c r="B953" s="266"/>
      <c r="C953" s="266"/>
      <c r="D953" s="266"/>
    </row>
    <row r="954">
      <c r="B954" s="266"/>
      <c r="C954" s="266"/>
      <c r="D954" s="266"/>
    </row>
    <row r="955">
      <c r="B955" s="266"/>
      <c r="C955" s="266"/>
      <c r="D955" s="266"/>
    </row>
    <row r="956">
      <c r="B956" s="266"/>
      <c r="C956" s="266"/>
      <c r="D956" s="266"/>
    </row>
    <row r="957">
      <c r="B957" s="266"/>
      <c r="C957" s="266"/>
      <c r="D957" s="266"/>
    </row>
    <row r="958">
      <c r="B958" s="266"/>
      <c r="C958" s="266"/>
      <c r="D958" s="266"/>
    </row>
    <row r="959">
      <c r="B959" s="266"/>
      <c r="C959" s="266"/>
      <c r="D959" s="266"/>
    </row>
    <row r="960">
      <c r="B960" s="266"/>
      <c r="C960" s="266"/>
      <c r="D960" s="266"/>
    </row>
    <row r="961">
      <c r="B961" s="266"/>
      <c r="C961" s="266"/>
      <c r="D961" s="266"/>
    </row>
    <row r="962">
      <c r="B962" s="266"/>
      <c r="C962" s="266"/>
      <c r="D962" s="266"/>
    </row>
    <row r="963">
      <c r="B963" s="266"/>
      <c r="C963" s="266"/>
      <c r="D963" s="266"/>
    </row>
    <row r="964">
      <c r="B964" s="266"/>
      <c r="C964" s="266"/>
      <c r="D964" s="266"/>
    </row>
    <row r="965">
      <c r="B965" s="266"/>
      <c r="C965" s="266"/>
      <c r="D965" s="266"/>
    </row>
    <row r="966">
      <c r="B966" s="266"/>
      <c r="C966" s="266"/>
      <c r="D966" s="266"/>
    </row>
    <row r="967">
      <c r="B967" s="266"/>
      <c r="C967" s="266"/>
      <c r="D967" s="266"/>
    </row>
    <row r="968">
      <c r="B968" s="266"/>
      <c r="C968" s="266"/>
      <c r="D968" s="266"/>
    </row>
    <row r="969">
      <c r="B969" s="266"/>
      <c r="C969" s="266"/>
      <c r="D969" s="266"/>
    </row>
    <row r="970">
      <c r="B970" s="266"/>
      <c r="C970" s="266"/>
      <c r="D970" s="266"/>
    </row>
    <row r="971">
      <c r="B971" s="266"/>
      <c r="C971" s="266"/>
      <c r="D971" s="266"/>
    </row>
    <row r="972">
      <c r="B972" s="266"/>
      <c r="C972" s="266"/>
      <c r="D972" s="266"/>
    </row>
    <row r="973">
      <c r="B973" s="266"/>
      <c r="C973" s="266"/>
      <c r="D973" s="266"/>
    </row>
    <row r="974">
      <c r="B974" s="266"/>
      <c r="C974" s="266"/>
      <c r="D974" s="266"/>
    </row>
    <row r="975">
      <c r="B975" s="266"/>
      <c r="C975" s="266"/>
      <c r="D975" s="266"/>
    </row>
    <row r="976">
      <c r="B976" s="266"/>
      <c r="C976" s="266"/>
      <c r="D976" s="266"/>
    </row>
    <row r="977">
      <c r="B977" s="266"/>
      <c r="C977" s="266"/>
      <c r="D977" s="266"/>
    </row>
    <row r="978">
      <c r="B978" s="266"/>
      <c r="C978" s="266"/>
      <c r="D978" s="266"/>
    </row>
    <row r="979">
      <c r="B979" s="266"/>
      <c r="C979" s="266"/>
      <c r="D979" s="266"/>
    </row>
    <row r="980">
      <c r="B980" s="266"/>
      <c r="C980" s="266"/>
      <c r="D980" s="266"/>
    </row>
    <row r="981">
      <c r="B981" s="266"/>
      <c r="C981" s="266"/>
      <c r="D981" s="266"/>
    </row>
    <row r="982">
      <c r="B982" s="266"/>
      <c r="C982" s="266"/>
      <c r="D982" s="266"/>
    </row>
    <row r="983">
      <c r="B983" s="266"/>
      <c r="C983" s="266"/>
      <c r="D983" s="266"/>
    </row>
    <row r="984">
      <c r="B984" s="266"/>
      <c r="C984" s="266"/>
      <c r="D984" s="266"/>
    </row>
    <row r="985">
      <c r="B985" s="266"/>
      <c r="C985" s="266"/>
      <c r="D985" s="266"/>
    </row>
    <row r="986">
      <c r="B986" s="266"/>
      <c r="C986" s="266"/>
      <c r="D986" s="266"/>
    </row>
    <row r="987">
      <c r="B987" s="266"/>
      <c r="C987" s="266"/>
      <c r="D987" s="266"/>
    </row>
    <row r="988">
      <c r="B988" s="266"/>
      <c r="C988" s="266"/>
      <c r="D988" s="266"/>
    </row>
    <row r="989">
      <c r="B989" s="266"/>
      <c r="C989" s="266"/>
      <c r="D989" s="266"/>
    </row>
  </sheetData>
  <dataValidations>
    <dataValidation type="list" allowBlank="1" sqref="E4:L4">
      <formula1>"未,OK,NG,Block,保,外,-,Autify実行"</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326</v>
      </c>
      <c r="B2" s="58" t="s">
        <v>325</v>
      </c>
      <c r="E2" s="58" t="s">
        <v>327</v>
      </c>
      <c r="F2" s="58" t="s">
        <v>325</v>
      </c>
    </row>
    <row r="3">
      <c r="A3" s="107" t="s">
        <v>328</v>
      </c>
      <c r="B3" s="107" t="s">
        <v>329</v>
      </c>
      <c r="C3" s="107" t="s">
        <v>330</v>
      </c>
      <c r="E3" s="107" t="s">
        <v>331</v>
      </c>
      <c r="F3" s="107" t="s">
        <v>329</v>
      </c>
      <c r="G3" s="107" t="s">
        <v>330</v>
      </c>
    </row>
    <row r="4">
      <c r="A4" s="107" t="s">
        <v>332</v>
      </c>
      <c r="B4" s="279"/>
      <c r="C4" s="279"/>
      <c r="E4" s="107" t="s">
        <v>333</v>
      </c>
      <c r="F4" s="279"/>
      <c r="G4" s="279"/>
    </row>
    <row r="5">
      <c r="A5" s="107" t="s">
        <v>334</v>
      </c>
      <c r="B5" s="279"/>
      <c r="C5" s="279"/>
      <c r="E5" s="107" t="s">
        <v>335</v>
      </c>
      <c r="F5" s="279"/>
      <c r="G5" s="279"/>
    </row>
    <row r="6">
      <c r="A6" s="107" t="s">
        <v>336</v>
      </c>
      <c r="B6" s="279"/>
      <c r="C6" s="279"/>
      <c r="E6" s="107" t="s">
        <v>337</v>
      </c>
      <c r="F6" s="279"/>
      <c r="G6" s="279"/>
    </row>
    <row r="7">
      <c r="A7" s="107" t="s">
        <v>338</v>
      </c>
      <c r="B7" s="279"/>
      <c r="C7" s="279"/>
      <c r="E7" s="107" t="s">
        <v>339</v>
      </c>
      <c r="F7" s="279"/>
      <c r="G7" s="279"/>
    </row>
    <row r="8">
      <c r="A8" s="107" t="s">
        <v>340</v>
      </c>
      <c r="B8" s="279"/>
      <c r="C8" s="279"/>
      <c r="E8" s="107" t="s">
        <v>341</v>
      </c>
      <c r="F8" s="279"/>
      <c r="G8" s="279"/>
    </row>
    <row r="9">
      <c r="A9" s="107" t="s">
        <v>342</v>
      </c>
      <c r="B9" s="279"/>
      <c r="C9" s="279"/>
      <c r="E9" s="107" t="s">
        <v>343</v>
      </c>
      <c r="F9" s="279"/>
      <c r="G9" s="279"/>
    </row>
    <row r="10">
      <c r="A10" s="107" t="s">
        <v>344</v>
      </c>
      <c r="B10" s="279"/>
      <c r="C10" s="279"/>
      <c r="E10" s="107" t="s">
        <v>345</v>
      </c>
      <c r="F10" s="279"/>
      <c r="G10" s="279"/>
    </row>
    <row r="11">
      <c r="A11" s="107" t="s">
        <v>346</v>
      </c>
      <c r="B11" s="279"/>
      <c r="C11" s="279"/>
      <c r="E11" s="107" t="s">
        <v>347</v>
      </c>
      <c r="F11" s="279"/>
      <c r="G11" s="279"/>
    </row>
    <row r="12">
      <c r="A12" s="107" t="s">
        <v>348</v>
      </c>
      <c r="B12" s="279"/>
      <c r="C12" s="279"/>
      <c r="E12" s="107" t="s">
        <v>349</v>
      </c>
      <c r="F12" s="279"/>
      <c r="G12" s="279"/>
    </row>
    <row r="13">
      <c r="A13" s="107" t="s">
        <v>350</v>
      </c>
      <c r="B13" s="279"/>
      <c r="C13" s="279"/>
      <c r="E13" s="107" t="s">
        <v>351</v>
      </c>
      <c r="F13" s="279"/>
      <c r="G13" s="279"/>
    </row>
    <row r="14">
      <c r="A14" s="107" t="s">
        <v>349</v>
      </c>
      <c r="B14" s="279"/>
      <c r="C14" s="279"/>
    </row>
    <row r="15">
      <c r="A15" s="107" t="s">
        <v>351</v>
      </c>
      <c r="B15" s="279"/>
      <c r="C15" s="279"/>
    </row>
    <row r="16">
      <c r="A16" s="279"/>
      <c r="B16" s="279"/>
      <c r="C16" s="279"/>
    </row>
    <row r="17">
      <c r="A17" s="279"/>
      <c r="B17" s="279"/>
      <c r="C17" s="279"/>
    </row>
    <row r="18">
      <c r="A18" s="279"/>
      <c r="B18" s="279"/>
      <c r="C18" s="27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88"/>
      <c r="C1" s="289"/>
    </row>
    <row r="2">
      <c r="B2" s="290" t="s">
        <v>352</v>
      </c>
      <c r="E2" s="291" t="s">
        <v>353</v>
      </c>
      <c r="F2" s="292"/>
      <c r="G2" s="293"/>
    </row>
    <row r="3">
      <c r="B3" s="294" t="s">
        <v>244</v>
      </c>
      <c r="C3" s="295" t="s">
        <v>354</v>
      </c>
      <c r="D3" s="296" t="s">
        <v>355</v>
      </c>
      <c r="E3" s="297" t="s">
        <v>356</v>
      </c>
      <c r="F3" s="297" t="s">
        <v>357</v>
      </c>
      <c r="G3" s="297" t="s">
        <v>358</v>
      </c>
      <c r="H3" s="298" t="s">
        <v>247</v>
      </c>
    </row>
    <row r="4">
      <c r="B4" s="299">
        <v>1.0</v>
      </c>
      <c r="C4" s="300" t="s">
        <v>359</v>
      </c>
      <c r="D4" s="301" t="s">
        <v>360</v>
      </c>
      <c r="E4" s="302" t="s">
        <v>66</v>
      </c>
      <c r="F4" s="302" t="s">
        <v>42</v>
      </c>
      <c r="G4" s="302" t="s">
        <v>42</v>
      </c>
      <c r="H4" s="303"/>
    </row>
    <row r="5">
      <c r="B5" s="299">
        <v>2.0</v>
      </c>
      <c r="C5" s="304"/>
      <c r="D5" s="301" t="s">
        <v>361</v>
      </c>
      <c r="E5" s="302" t="s">
        <v>66</v>
      </c>
      <c r="F5" s="302" t="s">
        <v>42</v>
      </c>
      <c r="G5" s="302" t="s">
        <v>42</v>
      </c>
      <c r="H5" s="303"/>
    </row>
    <row r="6">
      <c r="B6" s="299">
        <v>3.0</v>
      </c>
      <c r="C6" s="305" t="s">
        <v>362</v>
      </c>
      <c r="D6" s="301" t="s">
        <v>363</v>
      </c>
      <c r="E6" s="302" t="s">
        <v>66</v>
      </c>
      <c r="F6" s="302" t="s">
        <v>42</v>
      </c>
      <c r="G6" s="302" t="s">
        <v>42</v>
      </c>
      <c r="H6" s="306" t="s">
        <v>364</v>
      </c>
      <c r="I6" s="307" t="s">
        <v>365</v>
      </c>
    </row>
    <row r="7">
      <c r="B7" s="299">
        <v>4.0</v>
      </c>
      <c r="C7" s="305" t="s">
        <v>366</v>
      </c>
      <c r="D7" s="308" t="s">
        <v>367</v>
      </c>
      <c r="E7" s="302" t="s">
        <v>66</v>
      </c>
      <c r="F7" s="302" t="s">
        <v>42</v>
      </c>
      <c r="G7" s="302" t="s">
        <v>42</v>
      </c>
      <c r="H7" s="306"/>
    </row>
    <row r="8">
      <c r="B8" s="299">
        <v>5.0</v>
      </c>
      <c r="C8" s="305" t="s">
        <v>318</v>
      </c>
      <c r="D8" s="301" t="s">
        <v>368</v>
      </c>
      <c r="E8" s="302" t="s">
        <v>42</v>
      </c>
      <c r="F8" s="302" t="s">
        <v>42</v>
      </c>
      <c r="G8" s="302" t="s">
        <v>66</v>
      </c>
      <c r="H8" s="303"/>
      <c r="I8" s="309"/>
    </row>
    <row r="9">
      <c r="B9" s="299">
        <v>6.0</v>
      </c>
      <c r="C9" s="305" t="s">
        <v>369</v>
      </c>
      <c r="D9" s="308" t="s">
        <v>370</v>
      </c>
      <c r="E9" s="302" t="s">
        <v>42</v>
      </c>
      <c r="F9" s="302" t="s">
        <v>42</v>
      </c>
      <c r="G9" s="302" t="s">
        <v>66</v>
      </c>
      <c r="H9" s="303"/>
      <c r="I9" s="309"/>
    </row>
    <row r="10">
      <c r="B10" s="299">
        <v>7.0</v>
      </c>
      <c r="C10" s="305" t="s">
        <v>371</v>
      </c>
      <c r="D10" s="301" t="s">
        <v>372</v>
      </c>
      <c r="E10" s="302" t="s">
        <v>42</v>
      </c>
      <c r="F10" s="302" t="s">
        <v>42</v>
      </c>
      <c r="G10" s="302" t="s">
        <v>66</v>
      </c>
      <c r="H10" s="303"/>
    </row>
    <row r="11">
      <c r="B11" s="299">
        <v>8.0</v>
      </c>
      <c r="C11" s="310" t="s">
        <v>373</v>
      </c>
      <c r="D11" s="301" t="s">
        <v>374</v>
      </c>
      <c r="E11" s="302" t="s">
        <v>42</v>
      </c>
      <c r="F11" s="302" t="s">
        <v>42</v>
      </c>
      <c r="G11" s="302" t="s">
        <v>66</v>
      </c>
      <c r="H11" s="306" t="s">
        <v>364</v>
      </c>
      <c r="I11" s="104" t="s">
        <v>375</v>
      </c>
    </row>
    <row r="16">
      <c r="B16" s="288"/>
      <c r="C16" s="289"/>
    </row>
    <row r="17">
      <c r="B17" s="288"/>
      <c r="C17" s="289"/>
    </row>
    <row r="18">
      <c r="B18" s="288"/>
      <c r="C18" s="289"/>
    </row>
    <row r="19">
      <c r="B19" s="288"/>
      <c r="C19" s="289"/>
    </row>
    <row r="20">
      <c r="B20" s="288"/>
      <c r="C20" s="289"/>
    </row>
    <row r="21">
      <c r="B21" s="288"/>
      <c r="C21" s="289"/>
    </row>
    <row r="22">
      <c r="B22" s="288"/>
      <c r="C22" s="289"/>
    </row>
    <row r="23">
      <c r="B23" s="288"/>
      <c r="C23" s="289"/>
    </row>
    <row r="24">
      <c r="B24" s="288"/>
      <c r="C24" s="289"/>
    </row>
    <row r="25">
      <c r="B25" s="288"/>
      <c r="C25" s="289"/>
    </row>
    <row r="26">
      <c r="B26" s="288"/>
      <c r="C26" s="289"/>
    </row>
    <row r="27">
      <c r="B27" s="288"/>
      <c r="C27" s="289"/>
    </row>
    <row r="28">
      <c r="B28" s="288"/>
      <c r="C28" s="289"/>
    </row>
    <row r="29">
      <c r="B29" s="288"/>
      <c r="C29" s="289"/>
    </row>
    <row r="30">
      <c r="B30" s="288"/>
      <c r="C30" s="289"/>
    </row>
    <row r="31">
      <c r="B31" s="288"/>
      <c r="C31" s="289"/>
    </row>
    <row r="32">
      <c r="B32" s="288"/>
      <c r="C32" s="289"/>
    </row>
    <row r="33">
      <c r="B33" s="288"/>
      <c r="C33" s="289"/>
    </row>
    <row r="34">
      <c r="B34" s="288"/>
      <c r="C34" s="289"/>
    </row>
    <row r="35">
      <c r="B35" s="288"/>
      <c r="C35" s="289"/>
    </row>
    <row r="36">
      <c r="B36" s="288"/>
      <c r="C36" s="289"/>
    </row>
    <row r="37">
      <c r="B37" s="288"/>
      <c r="C37" s="289"/>
    </row>
    <row r="38">
      <c r="B38" s="288"/>
      <c r="C38" s="289"/>
    </row>
    <row r="39">
      <c r="B39" s="288"/>
      <c r="C39" s="289"/>
    </row>
    <row r="40">
      <c r="B40" s="288"/>
      <c r="C40" s="289"/>
    </row>
    <row r="41">
      <c r="B41" s="290"/>
      <c r="C41" s="289"/>
    </row>
    <row r="42">
      <c r="B42" s="290"/>
      <c r="C42" s="289"/>
      <c r="J42" s="311"/>
    </row>
    <row r="43">
      <c r="B43" s="288"/>
    </row>
    <row r="44">
      <c r="C44" s="105"/>
    </row>
    <row r="46">
      <c r="C46" s="105"/>
    </row>
    <row r="47">
      <c r="B47" s="288"/>
      <c r="C47" s="289"/>
    </row>
    <row r="48">
      <c r="B48" s="288"/>
      <c r="C48" s="289"/>
    </row>
    <row r="49">
      <c r="B49" s="288"/>
      <c r="C49" s="289"/>
    </row>
    <row r="50">
      <c r="B50" s="288"/>
      <c r="C50" s="289"/>
    </row>
    <row r="51">
      <c r="B51" s="288"/>
      <c r="C51" s="289"/>
    </row>
    <row r="52">
      <c r="B52" s="288"/>
      <c r="C52" s="289"/>
    </row>
    <row r="53">
      <c r="B53" s="288"/>
      <c r="C53" s="289"/>
    </row>
    <row r="54">
      <c r="B54" s="288"/>
      <c r="C54" s="289"/>
    </row>
    <row r="55">
      <c r="B55" s="288"/>
      <c r="C55" s="289"/>
    </row>
    <row r="56">
      <c r="B56" s="288"/>
      <c r="C56" s="289"/>
    </row>
    <row r="57">
      <c r="B57" s="288"/>
      <c r="C57" s="289"/>
    </row>
    <row r="58">
      <c r="B58" s="288"/>
      <c r="C58" s="289"/>
    </row>
    <row r="59">
      <c r="B59" s="288"/>
      <c r="C59" s="289"/>
    </row>
    <row r="60">
      <c r="B60" s="288"/>
      <c r="C60" s="289"/>
    </row>
    <row r="61">
      <c r="B61" s="288"/>
      <c r="C61" s="289"/>
    </row>
    <row r="62">
      <c r="B62" s="288"/>
      <c r="C62" s="289"/>
    </row>
    <row r="63">
      <c r="B63" s="288"/>
      <c r="C63" s="289"/>
    </row>
    <row r="64">
      <c r="B64" s="288"/>
      <c r="C64" s="289"/>
    </row>
    <row r="65">
      <c r="B65" s="288"/>
      <c r="C65" s="289"/>
    </row>
    <row r="66">
      <c r="B66" s="288"/>
      <c r="C66" s="289"/>
    </row>
    <row r="67">
      <c r="B67" s="288"/>
      <c r="C67" s="289"/>
    </row>
    <row r="68">
      <c r="B68" s="288"/>
      <c r="C68" s="289"/>
    </row>
    <row r="69">
      <c r="B69" s="288"/>
      <c r="C69" s="289"/>
    </row>
    <row r="70">
      <c r="B70" s="288"/>
      <c r="C70" s="289"/>
    </row>
    <row r="71">
      <c r="B71" s="288"/>
      <c r="C71" s="289"/>
    </row>
    <row r="72">
      <c r="B72" s="288"/>
      <c r="C72" s="289"/>
    </row>
    <row r="73">
      <c r="B73" s="288"/>
      <c r="C73" s="289"/>
    </row>
    <row r="74">
      <c r="B74" s="288"/>
      <c r="C74" s="289"/>
    </row>
    <row r="75">
      <c r="B75" s="288"/>
      <c r="C75" s="289"/>
    </row>
    <row r="76">
      <c r="B76" s="288"/>
      <c r="C76" s="289"/>
    </row>
    <row r="77">
      <c r="B77" s="288"/>
      <c r="C77" s="289"/>
    </row>
    <row r="78">
      <c r="B78" s="288"/>
      <c r="C78" s="289"/>
    </row>
    <row r="79">
      <c r="B79" s="288"/>
      <c r="C79" s="289"/>
    </row>
    <row r="80">
      <c r="B80" s="288"/>
      <c r="C80" s="289"/>
    </row>
    <row r="81">
      <c r="B81" s="288"/>
      <c r="C81" s="289"/>
    </row>
    <row r="82">
      <c r="B82" s="288"/>
      <c r="C82" s="289"/>
    </row>
    <row r="83">
      <c r="B83" s="288"/>
      <c r="C83" s="289"/>
    </row>
    <row r="84">
      <c r="B84" s="288"/>
      <c r="C84" s="289"/>
    </row>
    <row r="85">
      <c r="B85" s="288"/>
      <c r="C85" s="289"/>
    </row>
    <row r="86">
      <c r="B86" s="288"/>
      <c r="C86" s="289"/>
    </row>
    <row r="87">
      <c r="B87" s="288"/>
      <c r="C87" s="289"/>
    </row>
    <row r="88">
      <c r="B88" s="288"/>
      <c r="C88" s="289"/>
    </row>
    <row r="89">
      <c r="B89" s="288"/>
      <c r="C89" s="289"/>
    </row>
    <row r="90">
      <c r="B90" s="288"/>
      <c r="C90" s="289"/>
    </row>
    <row r="91">
      <c r="B91" s="288"/>
      <c r="C91" s="289"/>
    </row>
    <row r="92">
      <c r="B92" s="288"/>
      <c r="C92" s="289"/>
    </row>
    <row r="93">
      <c r="B93" s="288"/>
      <c r="C93" s="289"/>
    </row>
    <row r="94">
      <c r="B94" s="288"/>
      <c r="C94" s="289"/>
    </row>
    <row r="95">
      <c r="B95" s="288"/>
      <c r="C95" s="289"/>
    </row>
    <row r="96">
      <c r="B96" s="288"/>
      <c r="C96" s="289"/>
    </row>
    <row r="97">
      <c r="B97" s="288"/>
      <c r="C97" s="289"/>
    </row>
    <row r="98">
      <c r="B98" s="288"/>
      <c r="C98" s="289"/>
    </row>
    <row r="99">
      <c r="B99" s="288"/>
      <c r="C99" s="289"/>
    </row>
    <row r="100">
      <c r="B100" s="288"/>
      <c r="C100" s="289"/>
    </row>
    <row r="101">
      <c r="B101" s="288"/>
      <c r="C101" s="289"/>
    </row>
    <row r="102">
      <c r="B102" s="288"/>
      <c r="C102" s="289"/>
    </row>
    <row r="103">
      <c r="B103" s="288"/>
      <c r="C103" s="289"/>
    </row>
    <row r="104">
      <c r="B104" s="288"/>
      <c r="C104" s="289"/>
    </row>
    <row r="105">
      <c r="B105" s="288"/>
      <c r="C105" s="289"/>
    </row>
    <row r="106">
      <c r="B106" s="288"/>
      <c r="C106" s="289"/>
    </row>
    <row r="107">
      <c r="B107" s="288"/>
      <c r="C107" s="289"/>
    </row>
    <row r="108">
      <c r="B108" s="288"/>
      <c r="C108" s="289"/>
    </row>
    <row r="109">
      <c r="B109" s="288"/>
      <c r="C109" s="289"/>
    </row>
    <row r="110">
      <c r="B110" s="288"/>
      <c r="C110" s="289"/>
    </row>
    <row r="111">
      <c r="B111" s="288"/>
      <c r="C111" s="289"/>
    </row>
    <row r="112">
      <c r="B112" s="288"/>
      <c r="C112" s="289"/>
    </row>
    <row r="113">
      <c r="B113" s="288"/>
      <c r="C113" s="289"/>
    </row>
    <row r="114">
      <c r="B114" s="288"/>
      <c r="C114" s="289"/>
    </row>
    <row r="115">
      <c r="B115" s="288"/>
      <c r="C115" s="289"/>
    </row>
    <row r="116">
      <c r="B116" s="288"/>
      <c r="C116" s="289"/>
    </row>
    <row r="117">
      <c r="B117" s="288"/>
      <c r="C117" s="289"/>
    </row>
    <row r="118">
      <c r="B118" s="288"/>
      <c r="C118" s="289"/>
    </row>
    <row r="119">
      <c r="B119" s="288"/>
      <c r="C119" s="289"/>
    </row>
    <row r="120">
      <c r="B120" s="288"/>
      <c r="C120" s="289"/>
    </row>
    <row r="121">
      <c r="B121" s="288"/>
      <c r="C121" s="289"/>
    </row>
    <row r="122">
      <c r="B122" s="288"/>
      <c r="C122" s="289"/>
    </row>
    <row r="123">
      <c r="B123" s="288"/>
      <c r="C123" s="289"/>
    </row>
    <row r="124">
      <c r="B124" s="288"/>
      <c r="C124" s="289"/>
    </row>
    <row r="125">
      <c r="B125" s="288"/>
      <c r="C125" s="289"/>
    </row>
    <row r="126">
      <c r="B126" s="288"/>
      <c r="C126" s="289"/>
    </row>
    <row r="127">
      <c r="B127" s="288"/>
      <c r="C127" s="289"/>
    </row>
    <row r="128">
      <c r="B128" s="288"/>
      <c r="C128" s="289"/>
    </row>
    <row r="129">
      <c r="B129" s="288"/>
      <c r="C129" s="289"/>
    </row>
    <row r="130">
      <c r="B130" s="288"/>
      <c r="C130" s="289"/>
    </row>
    <row r="131">
      <c r="B131" s="288"/>
      <c r="C131" s="289"/>
    </row>
    <row r="132">
      <c r="B132" s="288"/>
      <c r="C132" s="289"/>
    </row>
    <row r="133">
      <c r="B133" s="288"/>
      <c r="C133" s="289"/>
    </row>
    <row r="134">
      <c r="B134" s="288"/>
      <c r="C134" s="289"/>
    </row>
    <row r="135">
      <c r="B135" s="288"/>
      <c r="C135" s="289"/>
    </row>
    <row r="136">
      <c r="B136" s="288"/>
      <c r="C136" s="289"/>
    </row>
    <row r="137">
      <c r="B137" s="288"/>
      <c r="C137" s="289"/>
    </row>
    <row r="138">
      <c r="B138" s="288"/>
      <c r="C138" s="289"/>
    </row>
    <row r="139">
      <c r="B139" s="288"/>
      <c r="C139" s="289"/>
    </row>
    <row r="140">
      <c r="B140" s="288"/>
      <c r="C140" s="289"/>
    </row>
    <row r="141">
      <c r="B141" s="288"/>
      <c r="C141" s="289"/>
    </row>
    <row r="142">
      <c r="B142" s="288"/>
      <c r="C142" s="289"/>
    </row>
    <row r="143">
      <c r="B143" s="288"/>
      <c r="C143" s="289"/>
    </row>
    <row r="144">
      <c r="B144" s="288"/>
      <c r="C144" s="289"/>
    </row>
    <row r="145">
      <c r="B145" s="288"/>
      <c r="C145" s="289"/>
    </row>
    <row r="146">
      <c r="B146" s="288"/>
      <c r="C146" s="289"/>
    </row>
    <row r="147">
      <c r="B147" s="288"/>
      <c r="C147" s="289"/>
    </row>
    <row r="148">
      <c r="B148" s="288"/>
      <c r="C148" s="289"/>
    </row>
    <row r="149">
      <c r="B149" s="288"/>
      <c r="C149" s="289"/>
    </row>
    <row r="150">
      <c r="B150" s="288"/>
      <c r="C150" s="289"/>
    </row>
    <row r="151">
      <c r="B151" s="288"/>
      <c r="C151" s="289"/>
    </row>
    <row r="152">
      <c r="B152" s="288"/>
      <c r="C152" s="289"/>
    </row>
    <row r="153">
      <c r="B153" s="288"/>
      <c r="C153" s="289"/>
    </row>
    <row r="154">
      <c r="B154" s="288"/>
      <c r="C154" s="289"/>
    </row>
    <row r="155">
      <c r="B155" s="288"/>
      <c r="C155" s="289"/>
    </row>
    <row r="156">
      <c r="B156" s="288"/>
      <c r="C156" s="289"/>
    </row>
    <row r="157">
      <c r="B157" s="288"/>
      <c r="C157" s="289"/>
    </row>
    <row r="158">
      <c r="B158" s="288"/>
      <c r="C158" s="289"/>
    </row>
    <row r="159">
      <c r="B159" s="288"/>
      <c r="C159" s="289"/>
    </row>
    <row r="160">
      <c r="B160" s="288"/>
      <c r="C160" s="289"/>
    </row>
    <row r="161">
      <c r="B161" s="288"/>
      <c r="C161" s="289"/>
    </row>
    <row r="162">
      <c r="B162" s="288"/>
      <c r="C162" s="289"/>
    </row>
    <row r="163">
      <c r="B163" s="288"/>
      <c r="C163" s="289"/>
    </row>
    <row r="164">
      <c r="B164" s="288"/>
      <c r="C164" s="289"/>
    </row>
    <row r="165">
      <c r="B165" s="288"/>
      <c r="C165" s="289"/>
    </row>
    <row r="166">
      <c r="B166" s="288"/>
      <c r="C166" s="289"/>
    </row>
    <row r="167">
      <c r="B167" s="288"/>
      <c r="C167" s="289"/>
    </row>
    <row r="168">
      <c r="B168" s="288"/>
      <c r="C168" s="289"/>
    </row>
    <row r="169">
      <c r="B169" s="288"/>
      <c r="C169" s="289"/>
    </row>
    <row r="170">
      <c r="B170" s="288"/>
      <c r="C170" s="289"/>
    </row>
    <row r="171">
      <c r="B171" s="288"/>
      <c r="C171" s="289"/>
    </row>
    <row r="172">
      <c r="B172" s="288"/>
      <c r="C172" s="289"/>
    </row>
    <row r="173">
      <c r="B173" s="288"/>
      <c r="C173" s="289"/>
    </row>
    <row r="174">
      <c r="B174" s="288"/>
      <c r="C174" s="289"/>
    </row>
    <row r="175">
      <c r="B175" s="288"/>
      <c r="C175" s="289"/>
    </row>
    <row r="176">
      <c r="B176" s="288"/>
      <c r="C176" s="289"/>
    </row>
    <row r="177">
      <c r="B177" s="288"/>
      <c r="C177" s="289"/>
    </row>
    <row r="178">
      <c r="B178" s="288"/>
      <c r="C178" s="289"/>
    </row>
    <row r="179">
      <c r="B179" s="288"/>
      <c r="C179" s="289"/>
    </row>
    <row r="180">
      <c r="B180" s="288"/>
      <c r="C180" s="289"/>
    </row>
    <row r="181">
      <c r="B181" s="288"/>
      <c r="C181" s="289"/>
    </row>
    <row r="182">
      <c r="B182" s="288"/>
      <c r="C182" s="289"/>
    </row>
    <row r="183">
      <c r="B183" s="288"/>
      <c r="C183" s="289"/>
    </row>
    <row r="184">
      <c r="B184" s="288"/>
      <c r="C184" s="289"/>
    </row>
    <row r="185">
      <c r="B185" s="288"/>
      <c r="C185" s="289"/>
    </row>
    <row r="186">
      <c r="B186" s="288"/>
      <c r="C186" s="289"/>
    </row>
    <row r="187">
      <c r="B187" s="288"/>
      <c r="C187" s="289"/>
    </row>
    <row r="188">
      <c r="B188" s="288"/>
      <c r="C188" s="289"/>
    </row>
    <row r="189">
      <c r="B189" s="288"/>
      <c r="C189" s="289"/>
    </row>
    <row r="190">
      <c r="B190" s="288"/>
      <c r="C190" s="289"/>
    </row>
    <row r="191">
      <c r="B191" s="288"/>
      <c r="C191" s="289"/>
    </row>
    <row r="192">
      <c r="B192" s="288"/>
      <c r="C192" s="289"/>
    </row>
    <row r="193">
      <c r="B193" s="288"/>
      <c r="C193" s="289"/>
    </row>
    <row r="194">
      <c r="B194" s="288"/>
      <c r="C194" s="289"/>
    </row>
    <row r="195">
      <c r="B195" s="288"/>
      <c r="C195" s="289"/>
    </row>
    <row r="196">
      <c r="B196" s="288"/>
      <c r="C196" s="289"/>
    </row>
    <row r="197">
      <c r="B197" s="288"/>
      <c r="C197" s="289"/>
    </row>
    <row r="198">
      <c r="B198" s="288"/>
      <c r="C198" s="289"/>
    </row>
    <row r="199">
      <c r="B199" s="288"/>
      <c r="C199" s="289"/>
    </row>
    <row r="200">
      <c r="B200" s="288"/>
      <c r="C200" s="289"/>
    </row>
    <row r="201">
      <c r="B201" s="288"/>
      <c r="C201" s="289"/>
    </row>
    <row r="202">
      <c r="B202" s="288"/>
      <c r="C202" s="289"/>
    </row>
    <row r="203">
      <c r="B203" s="288"/>
      <c r="C203" s="289"/>
    </row>
    <row r="204">
      <c r="B204" s="288"/>
      <c r="C204" s="289"/>
    </row>
    <row r="205">
      <c r="B205" s="288"/>
      <c r="C205" s="289"/>
    </row>
    <row r="206">
      <c r="B206" s="288"/>
      <c r="C206" s="289"/>
    </row>
    <row r="207">
      <c r="B207" s="288"/>
      <c r="C207" s="289"/>
    </row>
    <row r="208">
      <c r="B208" s="288"/>
      <c r="C208" s="289"/>
    </row>
    <row r="209">
      <c r="B209" s="288"/>
      <c r="C209" s="289"/>
    </row>
    <row r="210">
      <c r="B210" s="288"/>
      <c r="C210" s="289"/>
    </row>
    <row r="211">
      <c r="B211" s="288"/>
      <c r="C211" s="289"/>
    </row>
    <row r="212">
      <c r="B212" s="288"/>
      <c r="C212" s="289"/>
    </row>
    <row r="213">
      <c r="B213" s="288"/>
      <c r="C213" s="289"/>
    </row>
    <row r="214">
      <c r="B214" s="288"/>
      <c r="C214" s="289"/>
    </row>
    <row r="215">
      <c r="B215" s="288"/>
      <c r="C215" s="289"/>
    </row>
    <row r="216">
      <c r="B216" s="288"/>
      <c r="C216" s="289"/>
    </row>
    <row r="217">
      <c r="B217" s="288"/>
      <c r="C217" s="289"/>
    </row>
    <row r="218">
      <c r="B218" s="288"/>
      <c r="C218" s="289"/>
    </row>
    <row r="219">
      <c r="B219" s="288"/>
      <c r="C219" s="289"/>
    </row>
    <row r="220">
      <c r="B220" s="288"/>
      <c r="C220" s="289"/>
    </row>
    <row r="221">
      <c r="B221" s="288"/>
      <c r="C221" s="289"/>
    </row>
    <row r="222">
      <c r="B222" s="288"/>
      <c r="C222" s="289"/>
    </row>
    <row r="223">
      <c r="B223" s="288"/>
      <c r="C223" s="289"/>
    </row>
    <row r="224">
      <c r="B224" s="288"/>
      <c r="C224" s="289"/>
    </row>
    <row r="225">
      <c r="B225" s="288"/>
      <c r="C225" s="289"/>
    </row>
    <row r="226">
      <c r="B226" s="288"/>
      <c r="C226" s="289"/>
    </row>
    <row r="227">
      <c r="B227" s="288"/>
      <c r="C227" s="289"/>
    </row>
    <row r="228">
      <c r="B228" s="288"/>
      <c r="C228" s="289"/>
    </row>
    <row r="229">
      <c r="B229" s="288"/>
      <c r="C229" s="289"/>
    </row>
    <row r="230">
      <c r="B230" s="288"/>
      <c r="C230" s="289"/>
    </row>
    <row r="231">
      <c r="B231" s="288"/>
      <c r="C231" s="289"/>
    </row>
    <row r="232">
      <c r="B232" s="288"/>
      <c r="C232" s="289"/>
    </row>
    <row r="233">
      <c r="B233" s="288"/>
      <c r="C233" s="289"/>
    </row>
    <row r="234">
      <c r="B234" s="288"/>
      <c r="C234" s="289"/>
    </row>
    <row r="235">
      <c r="B235" s="288"/>
      <c r="C235" s="289"/>
    </row>
    <row r="236">
      <c r="B236" s="288"/>
      <c r="C236" s="289"/>
    </row>
    <row r="237">
      <c r="B237" s="288"/>
      <c r="C237" s="289"/>
    </row>
    <row r="238">
      <c r="B238" s="288"/>
      <c r="C238" s="289"/>
    </row>
    <row r="239">
      <c r="B239" s="288"/>
      <c r="C239" s="289"/>
    </row>
    <row r="240">
      <c r="B240" s="288"/>
      <c r="C240" s="289"/>
    </row>
    <row r="241">
      <c r="B241" s="288"/>
      <c r="C241" s="289"/>
    </row>
    <row r="242">
      <c r="B242" s="288"/>
      <c r="C242" s="289"/>
    </row>
    <row r="243">
      <c r="B243" s="288"/>
      <c r="C243" s="289"/>
    </row>
    <row r="244">
      <c r="B244" s="288"/>
      <c r="C244" s="289"/>
    </row>
    <row r="245">
      <c r="B245" s="288"/>
      <c r="C245" s="289"/>
    </row>
    <row r="246">
      <c r="B246" s="288"/>
      <c r="C246" s="289"/>
    </row>
    <row r="247">
      <c r="B247" s="288"/>
      <c r="C247" s="289"/>
    </row>
    <row r="248">
      <c r="B248" s="288"/>
      <c r="C248" s="289"/>
    </row>
    <row r="249">
      <c r="B249" s="288"/>
      <c r="C249" s="289"/>
    </row>
    <row r="250">
      <c r="B250" s="288"/>
      <c r="C250" s="289"/>
    </row>
    <row r="251">
      <c r="B251" s="288"/>
      <c r="C251" s="289"/>
    </row>
    <row r="252">
      <c r="B252" s="288"/>
      <c r="C252" s="289"/>
    </row>
    <row r="253">
      <c r="B253" s="288"/>
      <c r="C253" s="289"/>
    </row>
    <row r="254">
      <c r="B254" s="288"/>
      <c r="C254" s="289"/>
    </row>
    <row r="255">
      <c r="B255" s="288"/>
      <c r="C255" s="289"/>
    </row>
    <row r="256">
      <c r="B256" s="288"/>
      <c r="C256" s="289"/>
    </row>
    <row r="257">
      <c r="B257" s="288"/>
      <c r="C257" s="289"/>
    </row>
    <row r="258">
      <c r="B258" s="288"/>
      <c r="C258" s="289"/>
    </row>
    <row r="259">
      <c r="B259" s="288"/>
      <c r="C259" s="289"/>
    </row>
    <row r="260">
      <c r="B260" s="288"/>
      <c r="C260" s="289"/>
    </row>
    <row r="261">
      <c r="B261" s="288"/>
      <c r="C261" s="289"/>
    </row>
    <row r="262">
      <c r="B262" s="288"/>
      <c r="C262" s="289"/>
    </row>
    <row r="263">
      <c r="B263" s="288"/>
      <c r="C263" s="289"/>
    </row>
    <row r="264">
      <c r="B264" s="288"/>
      <c r="C264" s="289"/>
    </row>
    <row r="265">
      <c r="B265" s="288"/>
      <c r="C265" s="289"/>
    </row>
    <row r="266">
      <c r="B266" s="288"/>
      <c r="C266" s="289"/>
    </row>
    <row r="267">
      <c r="B267" s="288"/>
      <c r="C267" s="289"/>
    </row>
    <row r="268">
      <c r="B268" s="288"/>
      <c r="C268" s="289"/>
    </row>
    <row r="269">
      <c r="B269" s="288"/>
      <c r="C269" s="289"/>
    </row>
    <row r="270">
      <c r="B270" s="288"/>
      <c r="C270" s="289"/>
    </row>
    <row r="271">
      <c r="B271" s="288"/>
      <c r="C271" s="289"/>
    </row>
    <row r="272">
      <c r="B272" s="288"/>
      <c r="C272" s="289"/>
    </row>
    <row r="273">
      <c r="B273" s="288"/>
      <c r="C273" s="289"/>
    </row>
    <row r="274">
      <c r="B274" s="288"/>
      <c r="C274" s="289"/>
    </row>
    <row r="275">
      <c r="B275" s="288"/>
      <c r="C275" s="289"/>
    </row>
    <row r="276">
      <c r="B276" s="288"/>
      <c r="C276" s="289"/>
    </row>
    <row r="277">
      <c r="B277" s="288"/>
      <c r="C277" s="289"/>
    </row>
    <row r="278">
      <c r="B278" s="288"/>
      <c r="C278" s="289"/>
    </row>
    <row r="279">
      <c r="B279" s="288"/>
      <c r="C279" s="289"/>
    </row>
    <row r="280">
      <c r="B280" s="288"/>
      <c r="C280" s="289"/>
    </row>
    <row r="281">
      <c r="B281" s="288"/>
      <c r="C281" s="289"/>
    </row>
    <row r="282">
      <c r="B282" s="288"/>
      <c r="C282" s="289"/>
    </row>
    <row r="283">
      <c r="B283" s="288"/>
      <c r="C283" s="289"/>
    </row>
    <row r="284">
      <c r="B284" s="288"/>
      <c r="C284" s="289"/>
    </row>
    <row r="285">
      <c r="B285" s="288"/>
      <c r="C285" s="289"/>
    </row>
    <row r="286">
      <c r="B286" s="288"/>
      <c r="C286" s="289"/>
    </row>
    <row r="287">
      <c r="B287" s="288"/>
      <c r="C287" s="289"/>
    </row>
    <row r="288">
      <c r="B288" s="288"/>
      <c r="C288" s="289"/>
    </row>
    <row r="289">
      <c r="B289" s="288"/>
      <c r="C289" s="289"/>
    </row>
    <row r="290">
      <c r="B290" s="288"/>
      <c r="C290" s="289"/>
    </row>
    <row r="291">
      <c r="B291" s="288"/>
      <c r="C291" s="289"/>
    </row>
    <row r="292">
      <c r="B292" s="288"/>
      <c r="C292" s="289"/>
    </row>
    <row r="293">
      <c r="B293" s="288"/>
      <c r="C293" s="289"/>
    </row>
    <row r="294">
      <c r="B294" s="288"/>
      <c r="C294" s="289"/>
    </row>
    <row r="295">
      <c r="B295" s="288"/>
      <c r="C295" s="289"/>
    </row>
    <row r="296">
      <c r="B296" s="288"/>
      <c r="C296" s="289"/>
    </row>
    <row r="297">
      <c r="B297" s="288"/>
      <c r="C297" s="289"/>
    </row>
    <row r="298">
      <c r="B298" s="288"/>
      <c r="C298" s="289"/>
    </row>
    <row r="299">
      <c r="B299" s="288"/>
      <c r="C299" s="289"/>
    </row>
    <row r="300">
      <c r="B300" s="288"/>
      <c r="C300" s="289"/>
    </row>
    <row r="301">
      <c r="B301" s="288"/>
      <c r="C301" s="289"/>
    </row>
    <row r="302">
      <c r="B302" s="288"/>
      <c r="C302" s="289"/>
    </row>
    <row r="303">
      <c r="B303" s="288"/>
      <c r="C303" s="289"/>
    </row>
    <row r="304">
      <c r="B304" s="288"/>
      <c r="C304" s="289"/>
    </row>
    <row r="305">
      <c r="B305" s="288"/>
      <c r="C305" s="289"/>
    </row>
    <row r="306">
      <c r="B306" s="288"/>
      <c r="C306" s="289"/>
    </row>
    <row r="307">
      <c r="B307" s="288"/>
      <c r="C307" s="289"/>
    </row>
    <row r="308">
      <c r="B308" s="288"/>
      <c r="C308" s="289"/>
    </row>
    <row r="309">
      <c r="B309" s="288"/>
      <c r="C309" s="289"/>
    </row>
    <row r="310">
      <c r="B310" s="288"/>
      <c r="C310" s="289"/>
    </row>
    <row r="311">
      <c r="B311" s="288"/>
      <c r="C311" s="289"/>
    </row>
    <row r="312">
      <c r="B312" s="288"/>
      <c r="C312" s="289"/>
    </row>
    <row r="313">
      <c r="B313" s="288"/>
      <c r="C313" s="289"/>
    </row>
    <row r="314">
      <c r="B314" s="288"/>
      <c r="C314" s="289"/>
    </row>
    <row r="315">
      <c r="B315" s="288"/>
      <c r="C315" s="289"/>
    </row>
    <row r="316">
      <c r="B316" s="288"/>
      <c r="C316" s="289"/>
    </row>
    <row r="317">
      <c r="B317" s="288"/>
      <c r="C317" s="289"/>
    </row>
    <row r="318">
      <c r="B318" s="288"/>
      <c r="C318" s="289"/>
    </row>
    <row r="319">
      <c r="B319" s="288"/>
      <c r="C319" s="289"/>
    </row>
    <row r="320">
      <c r="B320" s="288"/>
      <c r="C320" s="289"/>
    </row>
    <row r="321">
      <c r="B321" s="288"/>
      <c r="C321" s="289"/>
    </row>
    <row r="322">
      <c r="B322" s="288"/>
      <c r="C322" s="289"/>
    </row>
    <row r="323">
      <c r="B323" s="288"/>
      <c r="C323" s="289"/>
    </row>
    <row r="324">
      <c r="B324" s="288"/>
      <c r="C324" s="289"/>
    </row>
    <row r="325">
      <c r="B325" s="288"/>
      <c r="C325" s="289"/>
    </row>
    <row r="326">
      <c r="B326" s="288"/>
      <c r="C326" s="289"/>
    </row>
    <row r="327">
      <c r="B327" s="288"/>
      <c r="C327" s="289"/>
    </row>
    <row r="328">
      <c r="B328" s="288"/>
      <c r="C328" s="289"/>
    </row>
    <row r="329">
      <c r="B329" s="288"/>
      <c r="C329" s="289"/>
    </row>
    <row r="330">
      <c r="B330" s="288"/>
      <c r="C330" s="289"/>
    </row>
    <row r="331">
      <c r="B331" s="288"/>
      <c r="C331" s="289"/>
    </row>
    <row r="332">
      <c r="B332" s="288"/>
      <c r="C332" s="289"/>
    </row>
    <row r="333">
      <c r="B333" s="288"/>
      <c r="C333" s="289"/>
    </row>
    <row r="334">
      <c r="B334" s="288"/>
      <c r="C334" s="289"/>
    </row>
    <row r="335">
      <c r="B335" s="288"/>
      <c r="C335" s="289"/>
    </row>
    <row r="336">
      <c r="B336" s="288"/>
      <c r="C336" s="289"/>
    </row>
    <row r="337">
      <c r="B337" s="288"/>
      <c r="C337" s="289"/>
    </row>
    <row r="338">
      <c r="B338" s="288"/>
      <c r="C338" s="289"/>
    </row>
    <row r="339">
      <c r="B339" s="288"/>
      <c r="C339" s="289"/>
    </row>
    <row r="340">
      <c r="B340" s="288"/>
      <c r="C340" s="289"/>
    </row>
    <row r="341">
      <c r="B341" s="288"/>
      <c r="C341" s="289"/>
    </row>
    <row r="342">
      <c r="B342" s="288"/>
      <c r="C342" s="289"/>
    </row>
    <row r="343">
      <c r="B343" s="288"/>
      <c r="C343" s="289"/>
    </row>
    <row r="344">
      <c r="B344" s="288"/>
      <c r="C344" s="289"/>
    </row>
    <row r="345">
      <c r="B345" s="288"/>
      <c r="C345" s="289"/>
    </row>
    <row r="346">
      <c r="B346" s="288"/>
      <c r="C346" s="289"/>
    </row>
    <row r="347">
      <c r="B347" s="288"/>
      <c r="C347" s="289"/>
    </row>
    <row r="348">
      <c r="B348" s="288"/>
      <c r="C348" s="289"/>
    </row>
    <row r="349">
      <c r="B349" s="288"/>
      <c r="C349" s="289"/>
    </row>
    <row r="350">
      <c r="B350" s="288"/>
      <c r="C350" s="289"/>
    </row>
    <row r="351">
      <c r="B351" s="288"/>
      <c r="C351" s="289"/>
    </row>
    <row r="352">
      <c r="B352" s="288"/>
      <c r="C352" s="289"/>
    </row>
    <row r="353">
      <c r="B353" s="288"/>
      <c r="C353" s="289"/>
    </row>
    <row r="354">
      <c r="B354" s="288"/>
      <c r="C354" s="289"/>
    </row>
    <row r="355">
      <c r="B355" s="288"/>
      <c r="C355" s="289"/>
    </row>
    <row r="356">
      <c r="B356" s="288"/>
      <c r="C356" s="289"/>
    </row>
    <row r="357">
      <c r="B357" s="288"/>
      <c r="C357" s="289"/>
    </row>
    <row r="358">
      <c r="B358" s="288"/>
      <c r="C358" s="289"/>
    </row>
    <row r="359">
      <c r="B359" s="288"/>
      <c r="C359" s="289"/>
    </row>
    <row r="360">
      <c r="B360" s="288"/>
      <c r="C360" s="289"/>
    </row>
    <row r="361">
      <c r="B361" s="288"/>
      <c r="C361" s="289"/>
    </row>
    <row r="362">
      <c r="B362" s="288"/>
      <c r="C362" s="289"/>
    </row>
    <row r="363">
      <c r="B363" s="288"/>
      <c r="C363" s="289"/>
    </row>
    <row r="364">
      <c r="B364" s="288"/>
      <c r="C364" s="289"/>
    </row>
    <row r="365">
      <c r="B365" s="288"/>
      <c r="C365" s="289"/>
    </row>
    <row r="366">
      <c r="B366" s="288"/>
      <c r="C366" s="289"/>
    </row>
    <row r="367">
      <c r="B367" s="288"/>
      <c r="C367" s="289"/>
    </row>
    <row r="368">
      <c r="B368" s="288"/>
      <c r="C368" s="289"/>
    </row>
    <row r="369">
      <c r="B369" s="288"/>
      <c r="C369" s="289"/>
    </row>
    <row r="370">
      <c r="B370" s="288"/>
      <c r="C370" s="289"/>
    </row>
    <row r="371">
      <c r="B371" s="288"/>
      <c r="C371" s="289"/>
    </row>
    <row r="372">
      <c r="B372" s="288"/>
      <c r="C372" s="289"/>
    </row>
    <row r="373">
      <c r="B373" s="288"/>
      <c r="C373" s="289"/>
    </row>
    <row r="374">
      <c r="B374" s="288"/>
      <c r="C374" s="289"/>
    </row>
    <row r="375">
      <c r="B375" s="288"/>
      <c r="C375" s="289"/>
    </row>
    <row r="376">
      <c r="B376" s="288"/>
      <c r="C376" s="289"/>
    </row>
    <row r="377">
      <c r="B377" s="288"/>
      <c r="C377" s="289"/>
    </row>
    <row r="378">
      <c r="B378" s="288"/>
      <c r="C378" s="289"/>
    </row>
    <row r="379">
      <c r="B379" s="288"/>
      <c r="C379" s="289"/>
    </row>
    <row r="380">
      <c r="B380" s="288"/>
      <c r="C380" s="289"/>
    </row>
    <row r="381">
      <c r="B381" s="288"/>
      <c r="C381" s="289"/>
    </row>
    <row r="382">
      <c r="B382" s="288"/>
      <c r="C382" s="289"/>
    </row>
    <row r="383">
      <c r="B383" s="288"/>
      <c r="C383" s="289"/>
    </row>
    <row r="384">
      <c r="B384" s="288"/>
      <c r="C384" s="289"/>
    </row>
    <row r="385">
      <c r="B385" s="288"/>
      <c r="C385" s="289"/>
    </row>
    <row r="386">
      <c r="B386" s="288"/>
      <c r="C386" s="289"/>
    </row>
    <row r="387">
      <c r="B387" s="288"/>
      <c r="C387" s="289"/>
    </row>
    <row r="388">
      <c r="B388" s="288"/>
      <c r="C388" s="289"/>
    </row>
    <row r="389">
      <c r="B389" s="288"/>
      <c r="C389" s="289"/>
    </row>
    <row r="390">
      <c r="B390" s="288"/>
      <c r="C390" s="289"/>
    </row>
    <row r="391">
      <c r="B391" s="288"/>
      <c r="C391" s="289"/>
    </row>
    <row r="392">
      <c r="B392" s="288"/>
      <c r="C392" s="289"/>
    </row>
    <row r="393">
      <c r="B393" s="288"/>
      <c r="C393" s="289"/>
    </row>
    <row r="394">
      <c r="B394" s="288"/>
      <c r="C394" s="289"/>
    </row>
    <row r="395">
      <c r="B395" s="288"/>
      <c r="C395" s="289"/>
    </row>
    <row r="396">
      <c r="B396" s="288"/>
      <c r="C396" s="289"/>
    </row>
    <row r="397">
      <c r="B397" s="288"/>
      <c r="C397" s="289"/>
    </row>
    <row r="398">
      <c r="B398" s="288"/>
      <c r="C398" s="289"/>
    </row>
    <row r="399">
      <c r="B399" s="288"/>
      <c r="C399" s="289"/>
    </row>
    <row r="400">
      <c r="B400" s="288"/>
      <c r="C400" s="289"/>
    </row>
    <row r="401">
      <c r="B401" s="288"/>
      <c r="C401" s="289"/>
    </row>
    <row r="402">
      <c r="B402" s="288"/>
      <c r="C402" s="289"/>
    </row>
    <row r="403">
      <c r="B403" s="288"/>
      <c r="C403" s="289"/>
    </row>
    <row r="404">
      <c r="B404" s="288"/>
      <c r="C404" s="289"/>
    </row>
    <row r="405">
      <c r="B405" s="288"/>
      <c r="C405" s="289"/>
    </row>
    <row r="406">
      <c r="B406" s="288"/>
      <c r="C406" s="289"/>
    </row>
    <row r="407">
      <c r="B407" s="288"/>
      <c r="C407" s="289"/>
    </row>
    <row r="408">
      <c r="B408" s="288"/>
      <c r="C408" s="289"/>
    </row>
    <row r="409">
      <c r="B409" s="288"/>
      <c r="C409" s="289"/>
    </row>
    <row r="410">
      <c r="B410" s="288"/>
      <c r="C410" s="289"/>
    </row>
    <row r="411">
      <c r="B411" s="288"/>
      <c r="C411" s="289"/>
    </row>
    <row r="412">
      <c r="B412" s="288"/>
      <c r="C412" s="289"/>
    </row>
    <row r="413">
      <c r="B413" s="288"/>
      <c r="C413" s="289"/>
    </row>
    <row r="414">
      <c r="B414" s="288"/>
      <c r="C414" s="289"/>
    </row>
    <row r="415">
      <c r="B415" s="288"/>
      <c r="C415" s="289"/>
    </row>
    <row r="416">
      <c r="B416" s="288"/>
      <c r="C416" s="289"/>
    </row>
    <row r="417">
      <c r="B417" s="288"/>
      <c r="C417" s="289"/>
    </row>
    <row r="418">
      <c r="B418" s="288"/>
      <c r="C418" s="289"/>
    </row>
    <row r="419">
      <c r="B419" s="288"/>
      <c r="C419" s="289"/>
    </row>
    <row r="420">
      <c r="B420" s="288"/>
      <c r="C420" s="289"/>
    </row>
    <row r="421">
      <c r="B421" s="288"/>
      <c r="C421" s="289"/>
    </row>
    <row r="422">
      <c r="B422" s="288"/>
      <c r="C422" s="289"/>
    </row>
    <row r="423">
      <c r="B423" s="288"/>
      <c r="C423" s="289"/>
    </row>
    <row r="424">
      <c r="B424" s="288"/>
      <c r="C424" s="289"/>
    </row>
    <row r="425">
      <c r="B425" s="288"/>
      <c r="C425" s="289"/>
    </row>
    <row r="426">
      <c r="B426" s="288"/>
      <c r="C426" s="289"/>
    </row>
    <row r="427">
      <c r="B427" s="288"/>
      <c r="C427" s="289"/>
    </row>
    <row r="428">
      <c r="B428" s="288"/>
      <c r="C428" s="289"/>
    </row>
    <row r="429">
      <c r="B429" s="288"/>
      <c r="C429" s="289"/>
    </row>
    <row r="430">
      <c r="B430" s="288"/>
      <c r="C430" s="289"/>
    </row>
    <row r="431">
      <c r="B431" s="288"/>
      <c r="C431" s="289"/>
    </row>
    <row r="432">
      <c r="B432" s="288"/>
      <c r="C432" s="289"/>
    </row>
    <row r="433">
      <c r="B433" s="288"/>
      <c r="C433" s="289"/>
    </row>
    <row r="434">
      <c r="B434" s="288"/>
      <c r="C434" s="289"/>
    </row>
    <row r="435">
      <c r="B435" s="288"/>
      <c r="C435" s="289"/>
    </row>
    <row r="436">
      <c r="B436" s="288"/>
      <c r="C436" s="289"/>
    </row>
    <row r="437">
      <c r="B437" s="288"/>
      <c r="C437" s="289"/>
    </row>
    <row r="438">
      <c r="B438" s="288"/>
      <c r="C438" s="289"/>
    </row>
    <row r="439">
      <c r="B439" s="288"/>
      <c r="C439" s="289"/>
    </row>
    <row r="440">
      <c r="B440" s="288"/>
      <c r="C440" s="289"/>
    </row>
    <row r="441">
      <c r="B441" s="288"/>
      <c r="C441" s="289"/>
    </row>
    <row r="442">
      <c r="B442" s="288"/>
      <c r="C442" s="289"/>
    </row>
    <row r="443">
      <c r="B443" s="288"/>
      <c r="C443" s="289"/>
    </row>
    <row r="444">
      <c r="B444" s="288"/>
      <c r="C444" s="289"/>
    </row>
    <row r="445">
      <c r="B445" s="288"/>
      <c r="C445" s="289"/>
    </row>
    <row r="446">
      <c r="B446" s="288"/>
      <c r="C446" s="289"/>
    </row>
    <row r="447">
      <c r="B447" s="288"/>
      <c r="C447" s="289"/>
    </row>
    <row r="448">
      <c r="B448" s="288"/>
      <c r="C448" s="289"/>
    </row>
    <row r="449">
      <c r="B449" s="288"/>
      <c r="C449" s="289"/>
    </row>
    <row r="450">
      <c r="B450" s="288"/>
      <c r="C450" s="289"/>
    </row>
    <row r="451">
      <c r="B451" s="288"/>
      <c r="C451" s="289"/>
    </row>
    <row r="452">
      <c r="B452" s="288"/>
      <c r="C452" s="289"/>
    </row>
    <row r="453">
      <c r="B453" s="288"/>
      <c r="C453" s="289"/>
    </row>
    <row r="454">
      <c r="B454" s="288"/>
      <c r="C454" s="289"/>
    </row>
    <row r="455">
      <c r="B455" s="288"/>
      <c r="C455" s="289"/>
    </row>
    <row r="456">
      <c r="B456" s="288"/>
      <c r="C456" s="289"/>
    </row>
    <row r="457">
      <c r="B457" s="288"/>
      <c r="C457" s="289"/>
    </row>
    <row r="458">
      <c r="B458" s="288"/>
      <c r="C458" s="289"/>
    </row>
    <row r="459">
      <c r="B459" s="288"/>
      <c r="C459" s="289"/>
    </row>
    <row r="460">
      <c r="B460" s="288"/>
      <c r="C460" s="289"/>
    </row>
    <row r="461">
      <c r="B461" s="288"/>
      <c r="C461" s="289"/>
    </row>
    <row r="462">
      <c r="B462" s="288"/>
      <c r="C462" s="289"/>
    </row>
    <row r="463">
      <c r="B463" s="288"/>
      <c r="C463" s="289"/>
    </row>
    <row r="464">
      <c r="B464" s="288"/>
      <c r="C464" s="289"/>
    </row>
    <row r="465">
      <c r="B465" s="288"/>
      <c r="C465" s="289"/>
    </row>
    <row r="466">
      <c r="B466" s="288"/>
      <c r="C466" s="289"/>
    </row>
    <row r="467">
      <c r="B467" s="288"/>
      <c r="C467" s="289"/>
    </row>
    <row r="468">
      <c r="B468" s="288"/>
      <c r="C468" s="289"/>
    </row>
    <row r="469">
      <c r="B469" s="288"/>
      <c r="C469" s="289"/>
    </row>
    <row r="470">
      <c r="B470" s="288"/>
      <c r="C470" s="289"/>
    </row>
    <row r="471">
      <c r="B471" s="288"/>
      <c r="C471" s="289"/>
    </row>
    <row r="472">
      <c r="B472" s="288"/>
      <c r="C472" s="289"/>
    </row>
    <row r="473">
      <c r="B473" s="288"/>
      <c r="C473" s="289"/>
    </row>
    <row r="474">
      <c r="B474" s="288"/>
      <c r="C474" s="289"/>
    </row>
    <row r="475">
      <c r="B475" s="288"/>
      <c r="C475" s="289"/>
    </row>
    <row r="476">
      <c r="B476" s="288"/>
      <c r="C476" s="289"/>
    </row>
    <row r="477">
      <c r="B477" s="288"/>
      <c r="C477" s="289"/>
    </row>
    <row r="478">
      <c r="B478" s="288"/>
      <c r="C478" s="289"/>
    </row>
    <row r="479">
      <c r="B479" s="288"/>
      <c r="C479" s="289"/>
    </row>
    <row r="480">
      <c r="B480" s="288"/>
      <c r="C480" s="289"/>
    </row>
    <row r="481">
      <c r="B481" s="288"/>
      <c r="C481" s="289"/>
    </row>
    <row r="482">
      <c r="B482" s="288"/>
      <c r="C482" s="289"/>
    </row>
    <row r="483">
      <c r="B483" s="288"/>
      <c r="C483" s="289"/>
    </row>
    <row r="484">
      <c r="B484" s="288"/>
      <c r="C484" s="289"/>
    </row>
    <row r="485">
      <c r="B485" s="288"/>
      <c r="C485" s="289"/>
    </row>
    <row r="486">
      <c r="B486" s="288"/>
      <c r="C486" s="289"/>
    </row>
    <row r="487">
      <c r="B487" s="288"/>
      <c r="C487" s="289"/>
    </row>
    <row r="488">
      <c r="B488" s="288"/>
      <c r="C488" s="289"/>
    </row>
    <row r="489">
      <c r="B489" s="288"/>
      <c r="C489" s="289"/>
    </row>
    <row r="490">
      <c r="B490" s="288"/>
      <c r="C490" s="289"/>
    </row>
    <row r="491">
      <c r="B491" s="288"/>
      <c r="C491" s="289"/>
    </row>
    <row r="492">
      <c r="B492" s="288"/>
      <c r="C492" s="289"/>
    </row>
    <row r="493">
      <c r="B493" s="288"/>
      <c r="C493" s="289"/>
    </row>
    <row r="494">
      <c r="B494" s="288"/>
      <c r="C494" s="289"/>
    </row>
    <row r="495">
      <c r="B495" s="288"/>
      <c r="C495" s="289"/>
    </row>
    <row r="496">
      <c r="B496" s="288"/>
      <c r="C496" s="289"/>
    </row>
    <row r="497">
      <c r="B497" s="288"/>
      <c r="C497" s="289"/>
    </row>
    <row r="498">
      <c r="B498" s="288"/>
      <c r="C498" s="289"/>
    </row>
    <row r="499">
      <c r="B499" s="288"/>
      <c r="C499" s="289"/>
    </row>
    <row r="500">
      <c r="B500" s="288"/>
      <c r="C500" s="289"/>
    </row>
    <row r="501">
      <c r="B501" s="288"/>
      <c r="C501" s="289"/>
    </row>
    <row r="502">
      <c r="B502" s="288"/>
      <c r="C502" s="289"/>
    </row>
    <row r="503">
      <c r="B503" s="288"/>
      <c r="C503" s="289"/>
    </row>
    <row r="504">
      <c r="B504" s="288"/>
      <c r="C504" s="289"/>
    </row>
    <row r="505">
      <c r="B505" s="288"/>
      <c r="C505" s="289"/>
    </row>
    <row r="506">
      <c r="B506" s="288"/>
      <c r="C506" s="289"/>
    </row>
    <row r="507">
      <c r="B507" s="288"/>
      <c r="C507" s="289"/>
    </row>
    <row r="508">
      <c r="B508" s="288"/>
      <c r="C508" s="289"/>
    </row>
    <row r="509">
      <c r="B509" s="288"/>
      <c r="C509" s="289"/>
    </row>
    <row r="510">
      <c r="B510" s="288"/>
      <c r="C510" s="289"/>
    </row>
    <row r="511">
      <c r="B511" s="288"/>
      <c r="C511" s="289"/>
    </row>
    <row r="512">
      <c r="B512" s="288"/>
      <c r="C512" s="289"/>
    </row>
    <row r="513">
      <c r="B513" s="288"/>
      <c r="C513" s="289"/>
    </row>
    <row r="514">
      <c r="B514" s="288"/>
      <c r="C514" s="289"/>
    </row>
    <row r="515">
      <c r="B515" s="288"/>
      <c r="C515" s="289"/>
    </row>
    <row r="516">
      <c r="B516" s="288"/>
      <c r="C516" s="289"/>
    </row>
    <row r="517">
      <c r="B517" s="288"/>
      <c r="C517" s="289"/>
    </row>
    <row r="518">
      <c r="B518" s="288"/>
      <c r="C518" s="289"/>
    </row>
    <row r="519">
      <c r="B519" s="288"/>
      <c r="C519" s="289"/>
    </row>
    <row r="520">
      <c r="B520" s="288"/>
      <c r="C520" s="289"/>
    </row>
    <row r="521">
      <c r="B521" s="288"/>
      <c r="C521" s="289"/>
    </row>
    <row r="522">
      <c r="B522" s="288"/>
      <c r="C522" s="289"/>
    </row>
    <row r="523">
      <c r="B523" s="288"/>
      <c r="C523" s="289"/>
    </row>
    <row r="524">
      <c r="B524" s="288"/>
      <c r="C524" s="289"/>
    </row>
    <row r="525">
      <c r="B525" s="288"/>
      <c r="C525" s="289"/>
    </row>
    <row r="526">
      <c r="B526" s="288"/>
      <c r="C526" s="289"/>
    </row>
    <row r="527">
      <c r="B527" s="288"/>
      <c r="C527" s="289"/>
    </row>
    <row r="528">
      <c r="B528" s="288"/>
      <c r="C528" s="289"/>
    </row>
    <row r="529">
      <c r="B529" s="288"/>
      <c r="C529" s="289"/>
    </row>
    <row r="530">
      <c r="B530" s="288"/>
      <c r="C530" s="289"/>
    </row>
    <row r="531">
      <c r="B531" s="288"/>
      <c r="C531" s="289"/>
    </row>
    <row r="532">
      <c r="B532" s="288"/>
      <c r="C532" s="289"/>
    </row>
    <row r="533">
      <c r="B533" s="288"/>
      <c r="C533" s="289"/>
    </row>
    <row r="534">
      <c r="B534" s="288"/>
      <c r="C534" s="289"/>
    </row>
    <row r="535">
      <c r="B535" s="288"/>
      <c r="C535" s="289"/>
    </row>
    <row r="536">
      <c r="B536" s="288"/>
      <c r="C536" s="289"/>
    </row>
    <row r="537">
      <c r="B537" s="288"/>
      <c r="C537" s="289"/>
    </row>
    <row r="538">
      <c r="B538" s="288"/>
      <c r="C538" s="289"/>
    </row>
    <row r="539">
      <c r="B539" s="288"/>
      <c r="C539" s="289"/>
    </row>
    <row r="540">
      <c r="B540" s="288"/>
      <c r="C540" s="289"/>
    </row>
    <row r="541">
      <c r="B541" s="288"/>
      <c r="C541" s="289"/>
    </row>
    <row r="542">
      <c r="B542" s="288"/>
      <c r="C542" s="289"/>
    </row>
    <row r="543">
      <c r="B543" s="288"/>
      <c r="C543" s="289"/>
    </row>
    <row r="544">
      <c r="B544" s="288"/>
      <c r="C544" s="289"/>
    </row>
    <row r="545">
      <c r="B545" s="288"/>
      <c r="C545" s="289"/>
    </row>
    <row r="546">
      <c r="B546" s="288"/>
      <c r="C546" s="289"/>
    </row>
    <row r="547">
      <c r="B547" s="288"/>
      <c r="C547" s="289"/>
    </row>
    <row r="548">
      <c r="B548" s="288"/>
      <c r="C548" s="289"/>
    </row>
    <row r="549">
      <c r="B549" s="288"/>
      <c r="C549" s="289"/>
    </row>
    <row r="550">
      <c r="B550" s="288"/>
      <c r="C550" s="289"/>
    </row>
    <row r="551">
      <c r="B551" s="288"/>
      <c r="C551" s="289"/>
    </row>
    <row r="552">
      <c r="B552" s="288"/>
      <c r="C552" s="289"/>
    </row>
    <row r="553">
      <c r="B553" s="288"/>
      <c r="C553" s="289"/>
    </row>
    <row r="554">
      <c r="B554" s="288"/>
      <c r="C554" s="289"/>
    </row>
    <row r="555">
      <c r="B555" s="288"/>
      <c r="C555" s="289"/>
    </row>
    <row r="556">
      <c r="B556" s="288"/>
      <c r="C556" s="289"/>
    </row>
    <row r="557">
      <c r="B557" s="288"/>
      <c r="C557" s="289"/>
    </row>
    <row r="558">
      <c r="B558" s="288"/>
      <c r="C558" s="289"/>
    </row>
    <row r="559">
      <c r="B559" s="288"/>
      <c r="C559" s="289"/>
    </row>
    <row r="560">
      <c r="B560" s="288"/>
      <c r="C560" s="289"/>
    </row>
    <row r="561">
      <c r="B561" s="288"/>
      <c r="C561" s="289"/>
    </row>
    <row r="562">
      <c r="B562" s="288"/>
      <c r="C562" s="289"/>
    </row>
    <row r="563">
      <c r="B563" s="288"/>
      <c r="C563" s="289"/>
    </row>
    <row r="564">
      <c r="B564" s="288"/>
      <c r="C564" s="289"/>
    </row>
    <row r="565">
      <c r="B565" s="288"/>
      <c r="C565" s="289"/>
    </row>
    <row r="566">
      <c r="B566" s="288"/>
      <c r="C566" s="289"/>
    </row>
    <row r="567">
      <c r="B567" s="288"/>
      <c r="C567" s="289"/>
    </row>
    <row r="568">
      <c r="B568" s="288"/>
      <c r="C568" s="289"/>
    </row>
    <row r="569">
      <c r="B569" s="288"/>
      <c r="C569" s="289"/>
    </row>
    <row r="570">
      <c r="B570" s="288"/>
      <c r="C570" s="289"/>
    </row>
    <row r="571">
      <c r="B571" s="288"/>
      <c r="C571" s="289"/>
    </row>
    <row r="572">
      <c r="B572" s="288"/>
      <c r="C572" s="289"/>
    </row>
    <row r="573">
      <c r="B573" s="288"/>
      <c r="C573" s="289"/>
    </row>
    <row r="574">
      <c r="B574" s="288"/>
      <c r="C574" s="289"/>
    </row>
    <row r="575">
      <c r="B575" s="288"/>
      <c r="C575" s="289"/>
    </row>
    <row r="576">
      <c r="B576" s="288"/>
      <c r="C576" s="289"/>
    </row>
    <row r="577">
      <c r="B577" s="288"/>
      <c r="C577" s="289"/>
    </row>
    <row r="578">
      <c r="B578" s="288"/>
      <c r="C578" s="289"/>
    </row>
    <row r="579">
      <c r="B579" s="288"/>
      <c r="C579" s="289"/>
    </row>
    <row r="580">
      <c r="B580" s="288"/>
      <c r="C580" s="289"/>
    </row>
    <row r="581">
      <c r="B581" s="288"/>
      <c r="C581" s="289"/>
    </row>
    <row r="582">
      <c r="B582" s="288"/>
      <c r="C582" s="289"/>
    </row>
    <row r="583">
      <c r="B583" s="288"/>
      <c r="C583" s="289"/>
    </row>
    <row r="584">
      <c r="B584" s="288"/>
      <c r="C584" s="289"/>
    </row>
    <row r="585">
      <c r="B585" s="288"/>
      <c r="C585" s="289"/>
    </row>
    <row r="586">
      <c r="B586" s="288"/>
      <c r="C586" s="289"/>
    </row>
    <row r="587">
      <c r="B587" s="288"/>
      <c r="C587" s="289"/>
    </row>
    <row r="588">
      <c r="B588" s="288"/>
      <c r="C588" s="289"/>
    </row>
    <row r="589">
      <c r="B589" s="288"/>
      <c r="C589" s="289"/>
    </row>
    <row r="590">
      <c r="B590" s="288"/>
      <c r="C590" s="289"/>
    </row>
    <row r="591">
      <c r="B591" s="288"/>
      <c r="C591" s="289"/>
    </row>
    <row r="592">
      <c r="B592" s="288"/>
      <c r="C592" s="289"/>
    </row>
    <row r="593">
      <c r="B593" s="288"/>
      <c r="C593" s="289"/>
    </row>
    <row r="594">
      <c r="B594" s="288"/>
      <c r="C594" s="289"/>
    </row>
    <row r="595">
      <c r="B595" s="288"/>
      <c r="C595" s="289"/>
    </row>
    <row r="596">
      <c r="B596" s="288"/>
      <c r="C596" s="289"/>
    </row>
    <row r="597">
      <c r="B597" s="288"/>
      <c r="C597" s="289"/>
    </row>
    <row r="598">
      <c r="B598" s="288"/>
      <c r="C598" s="289"/>
    </row>
    <row r="599">
      <c r="B599" s="288"/>
      <c r="C599" s="289"/>
    </row>
    <row r="600">
      <c r="B600" s="288"/>
      <c r="C600" s="289"/>
    </row>
    <row r="601">
      <c r="B601" s="288"/>
      <c r="C601" s="289"/>
    </row>
    <row r="602">
      <c r="B602" s="288"/>
      <c r="C602" s="289"/>
    </row>
    <row r="603">
      <c r="B603" s="288"/>
      <c r="C603" s="289"/>
    </row>
    <row r="604">
      <c r="B604" s="288"/>
      <c r="C604" s="289"/>
    </row>
    <row r="605">
      <c r="B605" s="288"/>
      <c r="C605" s="289"/>
    </row>
    <row r="606">
      <c r="B606" s="288"/>
      <c r="C606" s="289"/>
    </row>
    <row r="607">
      <c r="B607" s="288"/>
      <c r="C607" s="289"/>
    </row>
    <row r="608">
      <c r="B608" s="288"/>
      <c r="C608" s="289"/>
    </row>
    <row r="609">
      <c r="B609" s="288"/>
      <c r="C609" s="289"/>
    </row>
    <row r="610">
      <c r="B610" s="288"/>
      <c r="C610" s="289"/>
    </row>
    <row r="611">
      <c r="B611" s="288"/>
      <c r="C611" s="289"/>
    </row>
    <row r="612">
      <c r="B612" s="288"/>
      <c r="C612" s="289"/>
    </row>
    <row r="613">
      <c r="B613" s="288"/>
      <c r="C613" s="289"/>
    </row>
    <row r="614">
      <c r="B614" s="288"/>
      <c r="C614" s="289"/>
    </row>
    <row r="615">
      <c r="B615" s="288"/>
      <c r="C615" s="289"/>
    </row>
    <row r="616">
      <c r="B616" s="288"/>
      <c r="C616" s="289"/>
    </row>
    <row r="617">
      <c r="B617" s="288"/>
      <c r="C617" s="289"/>
    </row>
    <row r="618">
      <c r="B618" s="288"/>
      <c r="C618" s="289"/>
    </row>
    <row r="619">
      <c r="B619" s="288"/>
      <c r="C619" s="289"/>
    </row>
    <row r="620">
      <c r="B620" s="288"/>
      <c r="C620" s="289"/>
    </row>
    <row r="621">
      <c r="B621" s="288"/>
      <c r="C621" s="289"/>
    </row>
    <row r="622">
      <c r="B622" s="288"/>
      <c r="C622" s="289"/>
    </row>
    <row r="623">
      <c r="B623" s="288"/>
      <c r="C623" s="289"/>
    </row>
    <row r="624">
      <c r="B624" s="288"/>
      <c r="C624" s="289"/>
    </row>
    <row r="625">
      <c r="B625" s="288"/>
      <c r="C625" s="289"/>
    </row>
    <row r="626">
      <c r="B626" s="288"/>
      <c r="C626" s="289"/>
    </row>
    <row r="627">
      <c r="B627" s="288"/>
      <c r="C627" s="289"/>
    </row>
    <row r="628">
      <c r="B628" s="288"/>
      <c r="C628" s="289"/>
    </row>
    <row r="629">
      <c r="B629" s="288"/>
      <c r="C629" s="289"/>
    </row>
    <row r="630">
      <c r="B630" s="288"/>
      <c r="C630" s="289"/>
    </row>
    <row r="631">
      <c r="B631" s="288"/>
      <c r="C631" s="289"/>
    </row>
    <row r="632">
      <c r="B632" s="288"/>
      <c r="C632" s="289"/>
    </row>
    <row r="633">
      <c r="B633" s="288"/>
      <c r="C633" s="289"/>
    </row>
    <row r="634">
      <c r="B634" s="288"/>
      <c r="C634" s="289"/>
    </row>
    <row r="635">
      <c r="B635" s="288"/>
      <c r="C635" s="289"/>
    </row>
    <row r="636">
      <c r="B636" s="288"/>
      <c r="C636" s="289"/>
    </row>
    <row r="637">
      <c r="B637" s="288"/>
      <c r="C637" s="289"/>
    </row>
    <row r="638">
      <c r="B638" s="288"/>
      <c r="C638" s="289"/>
    </row>
    <row r="639">
      <c r="B639" s="288"/>
      <c r="C639" s="289"/>
    </row>
    <row r="640">
      <c r="B640" s="288"/>
      <c r="C640" s="289"/>
    </row>
    <row r="641">
      <c r="B641" s="288"/>
      <c r="C641" s="289"/>
    </row>
    <row r="642">
      <c r="B642" s="288"/>
      <c r="C642" s="289"/>
    </row>
    <row r="643">
      <c r="B643" s="288"/>
      <c r="C643" s="289"/>
    </row>
    <row r="644">
      <c r="B644" s="288"/>
      <c r="C644" s="289"/>
    </row>
    <row r="645">
      <c r="B645" s="288"/>
      <c r="C645" s="289"/>
    </row>
    <row r="646">
      <c r="B646" s="288"/>
      <c r="C646" s="289"/>
    </row>
    <row r="647">
      <c r="B647" s="288"/>
      <c r="C647" s="289"/>
    </row>
    <row r="648">
      <c r="B648" s="288"/>
      <c r="C648" s="289"/>
    </row>
    <row r="649">
      <c r="B649" s="288"/>
      <c r="C649" s="289"/>
    </row>
    <row r="650">
      <c r="B650" s="288"/>
      <c r="C650" s="289"/>
    </row>
    <row r="651">
      <c r="B651" s="288"/>
      <c r="C651" s="289"/>
    </row>
    <row r="652">
      <c r="B652" s="288"/>
      <c r="C652" s="289"/>
    </row>
    <row r="653">
      <c r="B653" s="288"/>
      <c r="C653" s="289"/>
    </row>
    <row r="654">
      <c r="B654" s="288"/>
      <c r="C654" s="289"/>
    </row>
    <row r="655">
      <c r="B655" s="288"/>
      <c r="C655" s="289"/>
    </row>
    <row r="656">
      <c r="B656" s="288"/>
      <c r="C656" s="289"/>
    </row>
    <row r="657">
      <c r="B657" s="288"/>
      <c r="C657" s="289"/>
    </row>
    <row r="658">
      <c r="B658" s="288"/>
      <c r="C658" s="289"/>
    </row>
    <row r="659">
      <c r="B659" s="288"/>
      <c r="C659" s="289"/>
    </row>
    <row r="660">
      <c r="B660" s="288"/>
      <c r="C660" s="289"/>
    </row>
    <row r="661">
      <c r="B661" s="288"/>
      <c r="C661" s="289"/>
    </row>
    <row r="662">
      <c r="B662" s="288"/>
      <c r="C662" s="289"/>
    </row>
    <row r="663">
      <c r="B663" s="288"/>
      <c r="C663" s="289"/>
    </row>
    <row r="664">
      <c r="B664" s="288"/>
      <c r="C664" s="289"/>
    </row>
    <row r="665">
      <c r="B665" s="288"/>
      <c r="C665" s="289"/>
    </row>
    <row r="666">
      <c r="B666" s="288"/>
      <c r="C666" s="289"/>
    </row>
    <row r="667">
      <c r="B667" s="288"/>
      <c r="C667" s="289"/>
    </row>
    <row r="668">
      <c r="B668" s="288"/>
      <c r="C668" s="289"/>
    </row>
    <row r="669">
      <c r="B669" s="288"/>
      <c r="C669" s="289"/>
    </row>
    <row r="670">
      <c r="B670" s="288"/>
      <c r="C670" s="289"/>
    </row>
    <row r="671">
      <c r="B671" s="288"/>
      <c r="C671" s="289"/>
    </row>
    <row r="672">
      <c r="B672" s="288"/>
      <c r="C672" s="289"/>
    </row>
    <row r="673">
      <c r="B673" s="288"/>
      <c r="C673" s="289"/>
    </row>
    <row r="674">
      <c r="B674" s="288"/>
      <c r="C674" s="289"/>
    </row>
    <row r="675">
      <c r="B675" s="288"/>
      <c r="C675" s="289"/>
    </row>
    <row r="676">
      <c r="B676" s="288"/>
      <c r="C676" s="289"/>
    </row>
    <row r="677">
      <c r="B677" s="288"/>
      <c r="C677" s="289"/>
    </row>
    <row r="678">
      <c r="B678" s="288"/>
      <c r="C678" s="289"/>
    </row>
    <row r="679">
      <c r="B679" s="288"/>
      <c r="C679" s="289"/>
    </row>
    <row r="680">
      <c r="B680" s="288"/>
      <c r="C680" s="289"/>
    </row>
    <row r="681">
      <c r="B681" s="288"/>
      <c r="C681" s="289"/>
    </row>
    <row r="682">
      <c r="B682" s="288"/>
      <c r="C682" s="289"/>
    </row>
    <row r="683">
      <c r="B683" s="288"/>
      <c r="C683" s="289"/>
    </row>
    <row r="684">
      <c r="B684" s="288"/>
      <c r="C684" s="289"/>
    </row>
    <row r="685">
      <c r="B685" s="288"/>
      <c r="C685" s="289"/>
    </row>
    <row r="686">
      <c r="B686" s="288"/>
      <c r="C686" s="289"/>
    </row>
    <row r="687">
      <c r="B687" s="288"/>
      <c r="C687" s="289"/>
    </row>
    <row r="688">
      <c r="B688" s="288"/>
      <c r="C688" s="289"/>
    </row>
    <row r="689">
      <c r="B689" s="288"/>
      <c r="C689" s="289"/>
    </row>
    <row r="690">
      <c r="B690" s="288"/>
      <c r="C690" s="289"/>
    </row>
    <row r="691">
      <c r="B691" s="288"/>
      <c r="C691" s="289"/>
    </row>
    <row r="692">
      <c r="B692" s="288"/>
      <c r="C692" s="289"/>
    </row>
    <row r="693">
      <c r="B693" s="288"/>
      <c r="C693" s="289"/>
    </row>
    <row r="694">
      <c r="B694" s="288"/>
      <c r="C694" s="289"/>
    </row>
    <row r="695">
      <c r="B695" s="288"/>
      <c r="C695" s="289"/>
    </row>
    <row r="696">
      <c r="B696" s="288"/>
      <c r="C696" s="289"/>
    </row>
    <row r="697">
      <c r="B697" s="288"/>
      <c r="C697" s="289"/>
    </row>
    <row r="698">
      <c r="B698" s="288"/>
      <c r="C698" s="289"/>
    </row>
    <row r="699">
      <c r="B699" s="288"/>
      <c r="C699" s="289"/>
    </row>
    <row r="700">
      <c r="B700" s="288"/>
      <c r="C700" s="289"/>
    </row>
    <row r="701">
      <c r="B701" s="288"/>
      <c r="C701" s="289"/>
    </row>
    <row r="702">
      <c r="B702" s="288"/>
      <c r="C702" s="289"/>
    </row>
    <row r="703">
      <c r="B703" s="288"/>
      <c r="C703" s="289"/>
    </row>
    <row r="704">
      <c r="B704" s="288"/>
      <c r="C704" s="289"/>
    </row>
    <row r="705">
      <c r="B705" s="288"/>
      <c r="C705" s="289"/>
    </row>
    <row r="706">
      <c r="B706" s="288"/>
      <c r="C706" s="289"/>
    </row>
    <row r="707">
      <c r="B707" s="288"/>
      <c r="C707" s="289"/>
    </row>
    <row r="708">
      <c r="B708" s="288"/>
      <c r="C708" s="289"/>
    </row>
    <row r="709">
      <c r="B709" s="288"/>
      <c r="C709" s="289"/>
    </row>
    <row r="710">
      <c r="B710" s="288"/>
      <c r="C710" s="289"/>
    </row>
    <row r="711">
      <c r="B711" s="288"/>
      <c r="C711" s="289"/>
    </row>
    <row r="712">
      <c r="B712" s="288"/>
      <c r="C712" s="289"/>
    </row>
    <row r="713">
      <c r="B713" s="288"/>
      <c r="C713" s="289"/>
    </row>
    <row r="714">
      <c r="B714" s="288"/>
      <c r="C714" s="289"/>
    </row>
    <row r="715">
      <c r="B715" s="288"/>
      <c r="C715" s="289"/>
    </row>
    <row r="716">
      <c r="B716" s="288"/>
      <c r="C716" s="289"/>
    </row>
    <row r="717">
      <c r="B717" s="288"/>
      <c r="C717" s="289"/>
    </row>
    <row r="718">
      <c r="B718" s="288"/>
      <c r="C718" s="289"/>
    </row>
    <row r="719">
      <c r="B719" s="288"/>
      <c r="C719" s="289"/>
    </row>
    <row r="720">
      <c r="B720" s="288"/>
      <c r="C720" s="289"/>
    </row>
    <row r="721">
      <c r="B721" s="288"/>
      <c r="C721" s="289"/>
    </row>
    <row r="722">
      <c r="B722" s="288"/>
      <c r="C722" s="289"/>
    </row>
    <row r="723">
      <c r="B723" s="288"/>
      <c r="C723" s="289"/>
    </row>
    <row r="724">
      <c r="B724" s="288"/>
      <c r="C724" s="289"/>
    </row>
    <row r="725">
      <c r="B725" s="288"/>
      <c r="C725" s="289"/>
    </row>
    <row r="726">
      <c r="B726" s="288"/>
      <c r="C726" s="289"/>
    </row>
    <row r="727">
      <c r="B727" s="288"/>
      <c r="C727" s="289"/>
    </row>
    <row r="728">
      <c r="B728" s="288"/>
      <c r="C728" s="289"/>
    </row>
    <row r="729">
      <c r="B729" s="288"/>
      <c r="C729" s="289"/>
    </row>
    <row r="730">
      <c r="B730" s="288"/>
      <c r="C730" s="289"/>
    </row>
    <row r="731">
      <c r="B731" s="288"/>
      <c r="C731" s="289"/>
    </row>
    <row r="732">
      <c r="B732" s="288"/>
      <c r="C732" s="289"/>
    </row>
    <row r="733">
      <c r="B733" s="288"/>
      <c r="C733" s="289"/>
    </row>
    <row r="734">
      <c r="B734" s="288"/>
      <c r="C734" s="289"/>
    </row>
    <row r="735">
      <c r="B735" s="288"/>
      <c r="C735" s="289"/>
    </row>
    <row r="736">
      <c r="B736" s="288"/>
      <c r="C736" s="289"/>
    </row>
    <row r="737">
      <c r="B737" s="288"/>
      <c r="C737" s="289"/>
    </row>
    <row r="738">
      <c r="B738" s="288"/>
      <c r="C738" s="289"/>
    </row>
    <row r="739">
      <c r="B739" s="288"/>
      <c r="C739" s="289"/>
    </row>
    <row r="740">
      <c r="B740" s="288"/>
      <c r="C740" s="289"/>
    </row>
    <row r="741">
      <c r="B741" s="288"/>
      <c r="C741" s="289"/>
    </row>
    <row r="742">
      <c r="B742" s="288"/>
      <c r="C742" s="289"/>
    </row>
    <row r="743">
      <c r="B743" s="288"/>
      <c r="C743" s="289"/>
    </row>
    <row r="744">
      <c r="B744" s="288"/>
      <c r="C744" s="289"/>
    </row>
    <row r="745">
      <c r="B745" s="288"/>
      <c r="C745" s="289"/>
    </row>
    <row r="746">
      <c r="B746" s="288"/>
      <c r="C746" s="289"/>
    </row>
    <row r="747">
      <c r="B747" s="288"/>
      <c r="C747" s="289"/>
    </row>
    <row r="748">
      <c r="B748" s="288"/>
      <c r="C748" s="289"/>
    </row>
    <row r="749">
      <c r="B749" s="288"/>
      <c r="C749" s="289"/>
    </row>
    <row r="750">
      <c r="B750" s="288"/>
      <c r="C750" s="289"/>
    </row>
    <row r="751">
      <c r="B751" s="288"/>
      <c r="C751" s="289"/>
    </row>
    <row r="752">
      <c r="B752" s="288"/>
      <c r="C752" s="289"/>
    </row>
    <row r="753">
      <c r="B753" s="288"/>
      <c r="C753" s="289"/>
    </row>
    <row r="754">
      <c r="B754" s="288"/>
      <c r="C754" s="289"/>
    </row>
    <row r="755">
      <c r="B755" s="288"/>
      <c r="C755" s="289"/>
    </row>
    <row r="756">
      <c r="B756" s="288"/>
      <c r="C756" s="289"/>
    </row>
    <row r="757">
      <c r="B757" s="288"/>
      <c r="C757" s="289"/>
    </row>
    <row r="758">
      <c r="B758" s="288"/>
      <c r="C758" s="289"/>
    </row>
    <row r="759">
      <c r="B759" s="288"/>
      <c r="C759" s="289"/>
    </row>
    <row r="760">
      <c r="B760" s="288"/>
      <c r="C760" s="289"/>
    </row>
    <row r="761">
      <c r="B761" s="288"/>
      <c r="C761" s="289"/>
    </row>
    <row r="762">
      <c r="B762" s="288"/>
      <c r="C762" s="289"/>
    </row>
    <row r="763">
      <c r="B763" s="288"/>
      <c r="C763" s="289"/>
    </row>
    <row r="764">
      <c r="B764" s="288"/>
      <c r="C764" s="289"/>
    </row>
    <row r="765">
      <c r="B765" s="288"/>
      <c r="C765" s="289"/>
    </row>
    <row r="766">
      <c r="B766" s="288"/>
      <c r="C766" s="289"/>
    </row>
    <row r="767">
      <c r="B767" s="288"/>
      <c r="C767" s="289"/>
    </row>
    <row r="768">
      <c r="B768" s="288"/>
      <c r="C768" s="289"/>
    </row>
    <row r="769">
      <c r="B769" s="288"/>
      <c r="C769" s="289"/>
    </row>
    <row r="770">
      <c r="B770" s="288"/>
      <c r="C770" s="289"/>
    </row>
    <row r="771">
      <c r="B771" s="288"/>
      <c r="C771" s="289"/>
    </row>
    <row r="772">
      <c r="B772" s="288"/>
      <c r="C772" s="289"/>
    </row>
    <row r="773">
      <c r="B773" s="288"/>
      <c r="C773" s="289"/>
    </row>
    <row r="774">
      <c r="B774" s="288"/>
      <c r="C774" s="289"/>
    </row>
    <row r="775">
      <c r="B775" s="288"/>
      <c r="C775" s="289"/>
    </row>
    <row r="776">
      <c r="B776" s="288"/>
      <c r="C776" s="289"/>
    </row>
    <row r="777">
      <c r="B777" s="288"/>
      <c r="C777" s="289"/>
    </row>
    <row r="778">
      <c r="B778" s="288"/>
      <c r="C778" s="289"/>
    </row>
    <row r="779">
      <c r="B779" s="288"/>
      <c r="C779" s="289"/>
    </row>
    <row r="780">
      <c r="B780" s="288"/>
      <c r="C780" s="289"/>
    </row>
    <row r="781">
      <c r="B781" s="288"/>
      <c r="C781" s="289"/>
    </row>
    <row r="782">
      <c r="B782" s="288"/>
      <c r="C782" s="289"/>
    </row>
    <row r="783">
      <c r="B783" s="288"/>
      <c r="C783" s="289"/>
    </row>
    <row r="784">
      <c r="B784" s="288"/>
      <c r="C784" s="289"/>
    </row>
    <row r="785">
      <c r="B785" s="288"/>
      <c r="C785" s="289"/>
    </row>
    <row r="786">
      <c r="B786" s="288"/>
      <c r="C786" s="289"/>
    </row>
    <row r="787">
      <c r="B787" s="288"/>
      <c r="C787" s="289"/>
    </row>
    <row r="788">
      <c r="B788" s="288"/>
      <c r="C788" s="289"/>
    </row>
    <row r="789">
      <c r="B789" s="288"/>
      <c r="C789" s="289"/>
    </row>
    <row r="790">
      <c r="B790" s="288"/>
      <c r="C790" s="289"/>
    </row>
    <row r="791">
      <c r="B791" s="288"/>
      <c r="C791" s="289"/>
    </row>
    <row r="792">
      <c r="B792" s="288"/>
      <c r="C792" s="289"/>
    </row>
    <row r="793">
      <c r="B793" s="288"/>
      <c r="C793" s="289"/>
    </row>
    <row r="794">
      <c r="B794" s="288"/>
      <c r="C794" s="289"/>
    </row>
    <row r="795">
      <c r="B795" s="288"/>
      <c r="C795" s="289"/>
    </row>
    <row r="796">
      <c r="B796" s="288"/>
      <c r="C796" s="289"/>
    </row>
    <row r="797">
      <c r="B797" s="288"/>
      <c r="C797" s="289"/>
    </row>
    <row r="798">
      <c r="B798" s="288"/>
      <c r="C798" s="289"/>
    </row>
    <row r="799">
      <c r="B799" s="288"/>
      <c r="C799" s="289"/>
    </row>
    <row r="800">
      <c r="B800" s="288"/>
      <c r="C800" s="289"/>
    </row>
    <row r="801">
      <c r="B801" s="288"/>
      <c r="C801" s="289"/>
    </row>
    <row r="802">
      <c r="B802" s="288"/>
      <c r="C802" s="289"/>
    </row>
    <row r="803">
      <c r="B803" s="288"/>
      <c r="C803" s="289"/>
    </row>
    <row r="804">
      <c r="B804" s="288"/>
      <c r="C804" s="289"/>
    </row>
    <row r="805">
      <c r="B805" s="288"/>
      <c r="C805" s="289"/>
    </row>
    <row r="806">
      <c r="B806" s="288"/>
      <c r="C806" s="289"/>
    </row>
    <row r="807">
      <c r="B807" s="288"/>
      <c r="C807" s="289"/>
    </row>
    <row r="808">
      <c r="B808" s="288"/>
      <c r="C808" s="289"/>
    </row>
    <row r="809">
      <c r="B809" s="288"/>
      <c r="C809" s="289"/>
    </row>
    <row r="810">
      <c r="B810" s="288"/>
      <c r="C810" s="289"/>
    </row>
    <row r="811">
      <c r="B811" s="288"/>
      <c r="C811" s="289"/>
    </row>
    <row r="812">
      <c r="B812" s="288"/>
      <c r="C812" s="289"/>
    </row>
    <row r="813">
      <c r="B813" s="288"/>
      <c r="C813" s="289"/>
    </row>
    <row r="814">
      <c r="B814" s="288"/>
      <c r="C814" s="289"/>
    </row>
    <row r="815">
      <c r="B815" s="288"/>
      <c r="C815" s="289"/>
    </row>
    <row r="816">
      <c r="B816" s="288"/>
      <c r="C816" s="289"/>
    </row>
    <row r="817">
      <c r="B817" s="288"/>
      <c r="C817" s="289"/>
    </row>
    <row r="818">
      <c r="B818" s="288"/>
      <c r="C818" s="289"/>
    </row>
    <row r="819">
      <c r="B819" s="288"/>
      <c r="C819" s="289"/>
    </row>
    <row r="820">
      <c r="B820" s="288"/>
      <c r="C820" s="289"/>
    </row>
    <row r="821">
      <c r="B821" s="288"/>
      <c r="C821" s="289"/>
    </row>
    <row r="822">
      <c r="B822" s="288"/>
      <c r="C822" s="289"/>
    </row>
    <row r="823">
      <c r="B823" s="288"/>
      <c r="C823" s="289"/>
    </row>
    <row r="824">
      <c r="B824" s="288"/>
      <c r="C824" s="289"/>
    </row>
    <row r="825">
      <c r="B825" s="288"/>
      <c r="C825" s="289"/>
    </row>
    <row r="826">
      <c r="B826" s="288"/>
      <c r="C826" s="289"/>
    </row>
    <row r="827">
      <c r="B827" s="288"/>
      <c r="C827" s="289"/>
    </row>
    <row r="828">
      <c r="B828" s="288"/>
      <c r="C828" s="289"/>
    </row>
    <row r="829">
      <c r="B829" s="288"/>
      <c r="C829" s="289"/>
    </row>
    <row r="830">
      <c r="B830" s="288"/>
      <c r="C830" s="289"/>
    </row>
    <row r="831">
      <c r="B831" s="288"/>
      <c r="C831" s="289"/>
    </row>
    <row r="832">
      <c r="B832" s="288"/>
      <c r="C832" s="289"/>
    </row>
    <row r="833">
      <c r="B833" s="288"/>
      <c r="C833" s="289"/>
    </row>
  </sheetData>
  <dataValidations>
    <dataValidation type="list" allowBlank="1" sqref="E4:G11">
      <formula1>"未,OK,NG,保,外,-"</formula1>
    </dataValidation>
  </dataValidations>
  <hyperlinks>
    <hyperlink r:id="rId1" ref="I6"/>
    <hyperlink r:id="rId2" location="gid=0" ref="D7"/>
    <hyperlink r:id="rId3" location="gid=1319472079" ref="D9"/>
    <hyperlink r:id="rId4" ref="I11"/>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376</v>
      </c>
      <c r="B2" s="58" t="s">
        <v>377</v>
      </c>
      <c r="D2" s="58" t="s">
        <v>378</v>
      </c>
    </row>
    <row r="3">
      <c r="A3" s="312" t="s">
        <v>379</v>
      </c>
      <c r="B3" s="279"/>
      <c r="E3" s="107" t="s">
        <v>40</v>
      </c>
      <c r="F3" s="107" t="s">
        <v>211</v>
      </c>
    </row>
    <row r="4">
      <c r="A4" s="312" t="s">
        <v>380</v>
      </c>
      <c r="B4" s="279"/>
      <c r="D4" s="107" t="s">
        <v>381</v>
      </c>
      <c r="E4" s="107"/>
      <c r="F4" s="279"/>
    </row>
    <row r="5">
      <c r="A5" s="312" t="s">
        <v>382</v>
      </c>
      <c r="B5" s="279"/>
      <c r="D5" s="107" t="s">
        <v>383</v>
      </c>
      <c r="E5" s="107"/>
      <c r="F5" s="279"/>
    </row>
    <row r="6">
      <c r="A6" s="312" t="s">
        <v>384</v>
      </c>
      <c r="B6" s="279"/>
      <c r="D6" s="107" t="s">
        <v>385</v>
      </c>
      <c r="E6" s="107"/>
      <c r="F6" s="279"/>
    </row>
    <row r="7">
      <c r="A7" s="312" t="s">
        <v>386</v>
      </c>
      <c r="B7" s="279"/>
    </row>
    <row r="8">
      <c r="A8" s="312" t="s">
        <v>387</v>
      </c>
      <c r="B8" s="279"/>
    </row>
    <row r="11">
      <c r="A11" s="58" t="s">
        <v>388</v>
      </c>
      <c r="E11" s="58" t="s">
        <v>389</v>
      </c>
    </row>
    <row r="12">
      <c r="A12" s="313"/>
      <c r="B12" s="313" t="s">
        <v>390</v>
      </c>
      <c r="C12" s="313" t="s">
        <v>391</v>
      </c>
      <c r="D12" s="313" t="s">
        <v>392</v>
      </c>
      <c r="E12" s="313" t="s">
        <v>393</v>
      </c>
      <c r="F12" s="314" t="s">
        <v>394</v>
      </c>
      <c r="G12" s="315" t="s">
        <v>395</v>
      </c>
      <c r="H12" s="316" t="s">
        <v>328</v>
      </c>
      <c r="I12" s="316" t="s">
        <v>331</v>
      </c>
      <c r="J12" s="317" t="s">
        <v>247</v>
      </c>
    </row>
    <row r="13">
      <c r="A13" s="107">
        <v>1.0</v>
      </c>
      <c r="B13" s="279"/>
      <c r="C13" s="279"/>
      <c r="D13" s="279"/>
      <c r="E13" s="279"/>
      <c r="F13" s="279"/>
      <c r="G13" s="279"/>
      <c r="H13" s="279"/>
      <c r="I13" s="279"/>
      <c r="J13" s="279"/>
    </row>
    <row r="14">
      <c r="A14" s="107">
        <v>2.0</v>
      </c>
      <c r="B14" s="279"/>
      <c r="C14" s="279"/>
      <c r="D14" s="279"/>
      <c r="E14" s="279"/>
      <c r="F14" s="279"/>
      <c r="G14" s="279"/>
      <c r="H14" s="279"/>
      <c r="I14" s="279"/>
      <c r="J14" s="279"/>
    </row>
    <row r="15">
      <c r="A15" s="107">
        <v>3.0</v>
      </c>
      <c r="B15" s="279"/>
      <c r="C15" s="279"/>
      <c r="D15" s="279"/>
      <c r="E15" s="279"/>
      <c r="F15" s="279"/>
      <c r="G15" s="279"/>
      <c r="H15" s="279"/>
      <c r="I15" s="279"/>
      <c r="J15" s="279"/>
    </row>
    <row r="16">
      <c r="A16" s="107">
        <v>4.0</v>
      </c>
      <c r="B16" s="279"/>
      <c r="C16" s="279"/>
      <c r="D16" s="279"/>
      <c r="E16" s="279"/>
      <c r="F16" s="279"/>
      <c r="G16" s="279"/>
      <c r="H16" s="279"/>
      <c r="I16" s="279"/>
      <c r="J16" s="279"/>
    </row>
    <row r="17">
      <c r="A17" s="107">
        <v>5.0</v>
      </c>
      <c r="B17" s="279"/>
      <c r="C17" s="279"/>
      <c r="D17" s="279"/>
      <c r="E17" s="279"/>
      <c r="F17" s="279"/>
      <c r="G17" s="279"/>
      <c r="H17" s="279"/>
      <c r="I17" s="279"/>
      <c r="J17" s="279"/>
    </row>
    <row r="18">
      <c r="A18" s="107">
        <v>6.0</v>
      </c>
      <c r="B18" s="279"/>
      <c r="C18" s="279"/>
      <c r="D18" s="279"/>
      <c r="E18" s="279"/>
      <c r="F18" s="279"/>
      <c r="G18" s="279"/>
      <c r="H18" s="279"/>
      <c r="I18" s="279"/>
      <c r="J18" s="279"/>
    </row>
    <row r="19">
      <c r="A19" s="107">
        <v>7.0</v>
      </c>
      <c r="B19" s="279"/>
      <c r="C19" s="279"/>
      <c r="D19" s="279"/>
      <c r="E19" s="279"/>
      <c r="F19" s="279"/>
      <c r="G19" s="279"/>
      <c r="H19" s="279"/>
      <c r="I19" s="279"/>
      <c r="J19" s="279"/>
    </row>
    <row r="20">
      <c r="A20" s="107">
        <v>8.0</v>
      </c>
      <c r="B20" s="279"/>
      <c r="C20" s="279"/>
      <c r="D20" s="279"/>
      <c r="E20" s="279"/>
      <c r="F20" s="279"/>
      <c r="G20" s="279"/>
      <c r="H20" s="279"/>
      <c r="I20" s="279"/>
      <c r="J20" s="279"/>
    </row>
    <row r="21">
      <c r="A21" s="107">
        <v>9.0</v>
      </c>
      <c r="B21" s="279"/>
      <c r="C21" s="279"/>
      <c r="D21" s="279"/>
      <c r="E21" s="279"/>
      <c r="F21" s="279"/>
      <c r="G21" s="279"/>
      <c r="H21" s="279"/>
      <c r="I21" s="279"/>
      <c r="J21" s="279"/>
    </row>
    <row r="22">
      <c r="A22" s="107">
        <v>10.0</v>
      </c>
      <c r="B22" s="279"/>
      <c r="C22" s="279"/>
      <c r="D22" s="279"/>
      <c r="E22" s="279"/>
      <c r="F22" s="279"/>
      <c r="G22" s="279"/>
      <c r="H22" s="279"/>
      <c r="I22" s="279"/>
      <c r="J22" s="279"/>
    </row>
    <row r="23">
      <c r="A23" s="107">
        <v>11.0</v>
      </c>
      <c r="B23" s="279"/>
      <c r="C23" s="279"/>
      <c r="D23" s="279"/>
      <c r="E23" s="279"/>
      <c r="F23" s="279"/>
      <c r="G23" s="279"/>
      <c r="H23" s="279"/>
      <c r="I23" s="279"/>
      <c r="J23" s="279"/>
    </row>
    <row r="24">
      <c r="A24" s="107">
        <v>12.0</v>
      </c>
      <c r="B24" s="279"/>
      <c r="C24" s="279"/>
      <c r="D24" s="279"/>
      <c r="E24" s="279"/>
      <c r="F24" s="279"/>
      <c r="G24" s="279"/>
      <c r="H24" s="279"/>
      <c r="I24" s="279"/>
      <c r="J24" s="279"/>
    </row>
    <row r="25">
      <c r="A25" s="107">
        <v>13.0</v>
      </c>
      <c r="B25" s="279"/>
      <c r="C25" s="279"/>
      <c r="D25" s="279"/>
      <c r="E25" s="279"/>
      <c r="F25" s="279"/>
      <c r="G25" s="279"/>
      <c r="H25" s="279"/>
      <c r="I25" s="279"/>
      <c r="J25" s="279"/>
    </row>
    <row r="26">
      <c r="A26" s="107">
        <v>14.0</v>
      </c>
      <c r="B26" s="279"/>
      <c r="C26" s="279"/>
      <c r="D26" s="279"/>
      <c r="E26" s="279"/>
      <c r="F26" s="279"/>
      <c r="G26" s="279"/>
      <c r="H26" s="279"/>
      <c r="I26" s="279"/>
      <c r="J26" s="279"/>
    </row>
    <row r="27">
      <c r="A27" s="107">
        <v>15.0</v>
      </c>
      <c r="B27" s="279"/>
      <c r="C27" s="279"/>
      <c r="D27" s="279"/>
      <c r="E27" s="279"/>
      <c r="F27" s="279"/>
      <c r="G27" s="279"/>
      <c r="H27" s="279"/>
      <c r="I27" s="279"/>
      <c r="J27" s="279"/>
    </row>
    <row r="28">
      <c r="A28" s="107">
        <v>16.0</v>
      </c>
      <c r="B28" s="279"/>
      <c r="C28" s="279"/>
      <c r="D28" s="279"/>
      <c r="E28" s="279"/>
      <c r="F28" s="279"/>
      <c r="G28" s="279"/>
      <c r="H28" s="279"/>
      <c r="I28" s="279"/>
      <c r="J28" s="279"/>
    </row>
    <row r="29">
      <c r="A29" s="107">
        <v>17.0</v>
      </c>
      <c r="B29" s="279"/>
      <c r="C29" s="279"/>
      <c r="D29" s="279"/>
      <c r="E29" s="279"/>
      <c r="F29" s="279"/>
      <c r="G29" s="279"/>
      <c r="H29" s="279"/>
      <c r="I29" s="279"/>
      <c r="J29" s="279"/>
    </row>
    <row r="30">
      <c r="A30" s="107">
        <v>18.0</v>
      </c>
      <c r="B30" s="279"/>
      <c r="C30" s="279"/>
      <c r="D30" s="279"/>
      <c r="E30" s="279"/>
      <c r="F30" s="279"/>
      <c r="G30" s="279"/>
      <c r="H30" s="279"/>
      <c r="I30" s="279"/>
      <c r="J30" s="279"/>
    </row>
    <row r="31">
      <c r="A31" s="107">
        <v>19.0</v>
      </c>
      <c r="B31" s="279"/>
      <c r="C31" s="279"/>
      <c r="D31" s="279"/>
      <c r="E31" s="279"/>
      <c r="F31" s="279"/>
      <c r="G31" s="279"/>
      <c r="H31" s="279"/>
      <c r="I31" s="279"/>
      <c r="J31" s="279"/>
    </row>
    <row r="32">
      <c r="A32" s="107">
        <v>20.0</v>
      </c>
      <c r="B32" s="279"/>
      <c r="C32" s="279"/>
      <c r="D32" s="279"/>
      <c r="E32" s="279"/>
      <c r="F32" s="279"/>
      <c r="G32" s="279"/>
      <c r="H32" s="279"/>
      <c r="I32" s="279"/>
      <c r="J32" s="279"/>
    </row>
    <row r="33">
      <c r="A33" s="107">
        <v>21.0</v>
      </c>
      <c r="B33" s="279"/>
      <c r="C33" s="279"/>
      <c r="D33" s="279"/>
      <c r="E33" s="279"/>
      <c r="F33" s="279"/>
      <c r="G33" s="279"/>
      <c r="H33" s="279"/>
      <c r="I33" s="279"/>
      <c r="J33" s="279"/>
    </row>
    <row r="34">
      <c r="A34" s="107">
        <v>22.0</v>
      </c>
      <c r="B34" s="279"/>
      <c r="C34" s="279"/>
      <c r="D34" s="279"/>
      <c r="E34" s="279"/>
      <c r="F34" s="279"/>
      <c r="G34" s="279"/>
      <c r="H34" s="279"/>
      <c r="I34" s="279"/>
      <c r="J34" s="279"/>
    </row>
    <row r="35">
      <c r="A35" s="107">
        <v>23.0</v>
      </c>
      <c r="B35" s="279"/>
      <c r="C35" s="279"/>
      <c r="D35" s="279"/>
      <c r="E35" s="279"/>
      <c r="F35" s="279"/>
      <c r="G35" s="279"/>
      <c r="H35" s="279"/>
      <c r="I35" s="279"/>
      <c r="J35" s="279"/>
    </row>
    <row r="36">
      <c r="A36" s="107">
        <v>24.0</v>
      </c>
      <c r="B36" s="279"/>
      <c r="C36" s="279"/>
      <c r="D36" s="279"/>
      <c r="E36" s="279"/>
      <c r="F36" s="279"/>
      <c r="G36" s="279"/>
      <c r="H36" s="279"/>
      <c r="I36" s="279"/>
      <c r="J36" s="279"/>
    </row>
    <row r="37">
      <c r="A37" s="107">
        <v>25.0</v>
      </c>
      <c r="B37" s="279"/>
      <c r="C37" s="279"/>
      <c r="D37" s="279"/>
      <c r="E37" s="279"/>
      <c r="F37" s="279"/>
      <c r="G37" s="279"/>
      <c r="H37" s="279"/>
      <c r="I37" s="279"/>
      <c r="J37" s="279"/>
    </row>
    <row r="38">
      <c r="A38" s="107">
        <v>26.0</v>
      </c>
      <c r="B38" s="279"/>
      <c r="C38" s="279"/>
      <c r="D38" s="279"/>
      <c r="E38" s="279"/>
      <c r="F38" s="279"/>
      <c r="G38" s="279"/>
      <c r="H38" s="279"/>
      <c r="I38" s="279"/>
      <c r="J38" s="279"/>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114" t="s">
        <v>396</v>
      </c>
      <c r="B1" s="114" t="s">
        <v>397</v>
      </c>
      <c r="C1" s="114" t="s">
        <v>40</v>
      </c>
      <c r="D1" s="114" t="s">
        <v>398</v>
      </c>
      <c r="E1" s="114" t="s">
        <v>399</v>
      </c>
      <c r="F1" s="114" t="s">
        <v>400</v>
      </c>
      <c r="G1" s="114" t="s">
        <v>401</v>
      </c>
      <c r="H1" s="114" t="s">
        <v>402</v>
      </c>
      <c r="I1" s="114" t="s">
        <v>403</v>
      </c>
      <c r="J1" s="114" t="s">
        <v>211</v>
      </c>
      <c r="K1" s="114" t="s">
        <v>404</v>
      </c>
      <c r="L1" s="114" t="s">
        <v>405</v>
      </c>
      <c r="M1" s="114" t="s">
        <v>406</v>
      </c>
      <c r="N1" s="114" t="s">
        <v>407</v>
      </c>
    </row>
    <row r="2">
      <c r="A2" s="318" t="str">
        <f>HYPERLINK("https://beartail.atlassian.net/browse/KH-2812?atlOrigin=eyJpIjoiYzgwYTQ0ZjEyNzQzNGJhN2JmNjEyZTM0NmRhZWZhNjIiLCJwIjoic2hlZXRzLWppcmEifQ","KH-2812")</f>
        <v>KH-2812</v>
      </c>
      <c r="B2" s="114" t="s">
        <v>408</v>
      </c>
      <c r="C2" s="114" t="s">
        <v>409</v>
      </c>
      <c r="D2" s="319">
        <v>45195.670266203706</v>
      </c>
      <c r="E2" s="319">
        <v>45202.603368055556</v>
      </c>
      <c r="F2" s="114" t="s">
        <v>410</v>
      </c>
      <c r="G2" s="318" t="str">
        <f t="shared" ref="G2:G64" si="1">HYPERLINK("https://beartail.atlassian.net/browse/KH-2809?atlOrigin=eyJpIjoiYzgwYTQ0ZjEyNzQzNGJhN2JmNjEyZTM0NmRhZWZhNjIiLCJwIjoic2hlZXRzLWppcmEifQ","KH-2809")</f>
        <v>KH-2809</v>
      </c>
      <c r="H2" s="114" t="s">
        <v>411</v>
      </c>
      <c r="I2" s="114" t="s">
        <v>412</v>
      </c>
      <c r="J2" s="114" t="s">
        <v>412</v>
      </c>
      <c r="K2" s="114" t="s">
        <v>413</v>
      </c>
      <c r="L2" s="114" t="s">
        <v>414</v>
      </c>
      <c r="M2" s="114" t="s">
        <v>414</v>
      </c>
      <c r="N2" s="114" t="s">
        <v>414</v>
      </c>
    </row>
    <row r="3">
      <c r="A3" s="318" t="str">
        <f>HYPERLINK("https://beartail.atlassian.net/browse/KH-2813?atlOrigin=eyJpIjoiYzgwYTQ0ZjEyNzQzNGJhN2JmNjEyZTM0NmRhZWZhNjIiLCJwIjoic2hlZXRzLWppcmEifQ","KH-2813")</f>
        <v>KH-2813</v>
      </c>
      <c r="B3" s="114" t="s">
        <v>408</v>
      </c>
      <c r="C3" s="114" t="s">
        <v>409</v>
      </c>
      <c r="D3" s="319">
        <v>45195.67172453704</v>
      </c>
      <c r="E3" s="319">
        <v>45202.6033912037</v>
      </c>
      <c r="F3" s="114" t="s">
        <v>410</v>
      </c>
      <c r="G3" s="318" t="str">
        <f t="shared" si="1"/>
        <v>KH-2809</v>
      </c>
      <c r="H3" s="114" t="s">
        <v>411</v>
      </c>
      <c r="I3" s="114" t="s">
        <v>415</v>
      </c>
      <c r="J3" s="114" t="s">
        <v>415</v>
      </c>
      <c r="K3" s="114" t="s">
        <v>413</v>
      </c>
      <c r="L3" s="114" t="s">
        <v>414</v>
      </c>
      <c r="M3" s="114" t="s">
        <v>414</v>
      </c>
      <c r="N3" s="114" t="s">
        <v>414</v>
      </c>
    </row>
    <row r="4">
      <c r="A4" s="318" t="str">
        <f>HYPERLINK("https://beartail.atlassian.net/browse/KH-2859?atlOrigin=eyJpIjoiYzgwYTQ0ZjEyNzQzNGJhN2JmNjEyZTM0NmRhZWZhNjIiLCJwIjoic2hlZXRzLWppcmEifQ","KH-2859")</f>
        <v>KH-2859</v>
      </c>
      <c r="B4" s="114" t="s">
        <v>416</v>
      </c>
      <c r="C4" s="114" t="s">
        <v>409</v>
      </c>
      <c r="D4" s="319">
        <v>45202.66005787037</v>
      </c>
      <c r="E4" s="319">
        <v>45212.394108796296</v>
      </c>
      <c r="F4" s="114" t="s">
        <v>417</v>
      </c>
      <c r="G4" s="318" t="str">
        <f t="shared" si="1"/>
        <v>KH-2809</v>
      </c>
      <c r="H4" s="114" t="s">
        <v>411</v>
      </c>
      <c r="I4" s="114" t="s">
        <v>412</v>
      </c>
      <c r="J4" s="114" t="s">
        <v>415</v>
      </c>
      <c r="K4" s="114" t="s">
        <v>418</v>
      </c>
      <c r="L4" s="114" t="s">
        <v>414</v>
      </c>
      <c r="M4" s="114" t="s">
        <v>414</v>
      </c>
      <c r="N4" s="114" t="s">
        <v>414</v>
      </c>
    </row>
    <row r="5">
      <c r="A5" s="318" t="str">
        <f>HYPERLINK("https://beartail.atlassian.net/browse/KH-2862?atlOrigin=eyJpIjoiYzgwYTQ0ZjEyNzQzNGJhN2JmNjEyZTM0NmRhZWZhNjIiLCJwIjoic2hlZXRzLWppcmEifQ","KH-2862")</f>
        <v>KH-2862</v>
      </c>
      <c r="B5" s="114" t="s">
        <v>419</v>
      </c>
      <c r="C5" s="114" t="s">
        <v>409</v>
      </c>
      <c r="D5" s="319">
        <v>45202.661261574074</v>
      </c>
      <c r="E5" s="319">
        <v>45223.63253472222</v>
      </c>
      <c r="F5" s="114" t="s">
        <v>417</v>
      </c>
      <c r="G5" s="318" t="str">
        <f t="shared" si="1"/>
        <v>KH-2809</v>
      </c>
      <c r="H5" s="114" t="s">
        <v>411</v>
      </c>
      <c r="I5" s="114" t="s">
        <v>412</v>
      </c>
      <c r="J5" s="114" t="s">
        <v>412</v>
      </c>
      <c r="K5" s="114" t="s">
        <v>413</v>
      </c>
      <c r="L5" s="114" t="s">
        <v>414</v>
      </c>
      <c r="M5" s="114" t="s">
        <v>414</v>
      </c>
      <c r="N5" s="114" t="s">
        <v>414</v>
      </c>
    </row>
    <row r="6">
      <c r="A6" s="318" t="str">
        <f>HYPERLINK("https://beartail.atlassian.net/browse/KH-2864?atlOrigin=eyJpIjoiYzgwYTQ0ZjEyNzQzNGJhN2JmNjEyZTM0NmRhZWZhNjIiLCJwIjoic2hlZXRzLWppcmEifQ","KH-2864")</f>
        <v>KH-2864</v>
      </c>
      <c r="B6" s="114" t="s">
        <v>420</v>
      </c>
      <c r="C6" s="114" t="s">
        <v>409</v>
      </c>
      <c r="D6" s="319">
        <v>45202.66181712963</v>
      </c>
      <c r="E6" s="319">
        <v>45211.44217592593</v>
      </c>
      <c r="F6" s="114" t="s">
        <v>417</v>
      </c>
      <c r="G6" s="318" t="str">
        <f t="shared" si="1"/>
        <v>KH-2809</v>
      </c>
      <c r="H6" s="114" t="s">
        <v>411</v>
      </c>
      <c r="I6" s="114" t="s">
        <v>412</v>
      </c>
      <c r="J6" s="114" t="s">
        <v>412</v>
      </c>
      <c r="K6" s="114" t="s">
        <v>413</v>
      </c>
      <c r="L6" s="114" t="s">
        <v>414</v>
      </c>
      <c r="M6" s="114" t="s">
        <v>414</v>
      </c>
      <c r="N6" s="114" t="s">
        <v>414</v>
      </c>
    </row>
    <row r="7">
      <c r="A7" s="318" t="str">
        <f>HYPERLINK("https://beartail.atlassian.net/browse/KH-2902?atlOrigin=eyJpIjoiYzgwYTQ0ZjEyNzQzNGJhN2JmNjEyZTM0NmRhZWZhNjIiLCJwIjoic2hlZXRzLWppcmEifQ","KH-2902")</f>
        <v>KH-2902</v>
      </c>
      <c r="B7" s="114" t="s">
        <v>421</v>
      </c>
      <c r="C7" s="114" t="s">
        <v>409</v>
      </c>
      <c r="D7" s="319">
        <v>45210.73216435185</v>
      </c>
      <c r="E7" s="319">
        <v>45216.59994212963</v>
      </c>
      <c r="F7" s="114" t="s">
        <v>417</v>
      </c>
      <c r="G7" s="318" t="str">
        <f t="shared" si="1"/>
        <v>KH-2809</v>
      </c>
      <c r="H7" s="114" t="s">
        <v>411</v>
      </c>
      <c r="I7" s="114" t="s">
        <v>412</v>
      </c>
      <c r="J7" s="114" t="s">
        <v>412</v>
      </c>
      <c r="K7" s="114" t="s">
        <v>413</v>
      </c>
      <c r="L7" s="114" t="s">
        <v>414</v>
      </c>
      <c r="M7" s="114" t="s">
        <v>414</v>
      </c>
      <c r="N7" s="114" t="s">
        <v>414</v>
      </c>
    </row>
    <row r="8">
      <c r="A8" s="318" t="str">
        <f>HYPERLINK("https://beartail.atlassian.net/browse/KH-2903?atlOrigin=eyJpIjoiYzgwYTQ0ZjEyNzQzNGJhN2JmNjEyZTM0NmRhZWZhNjIiLCJwIjoic2hlZXRzLWppcmEifQ","KH-2903")</f>
        <v>KH-2903</v>
      </c>
      <c r="B8" s="114" t="s">
        <v>422</v>
      </c>
      <c r="C8" s="114" t="s">
        <v>409</v>
      </c>
      <c r="D8" s="319">
        <v>45210.73247685185</v>
      </c>
      <c r="E8" s="319">
        <v>45229.821493055555</v>
      </c>
      <c r="F8" s="114" t="s">
        <v>417</v>
      </c>
      <c r="G8" s="318" t="str">
        <f t="shared" si="1"/>
        <v>KH-2809</v>
      </c>
      <c r="H8" s="114" t="s">
        <v>411</v>
      </c>
      <c r="I8" s="114" t="s">
        <v>412</v>
      </c>
      <c r="J8" s="114" t="s">
        <v>415</v>
      </c>
      <c r="K8" s="114" t="s">
        <v>413</v>
      </c>
      <c r="L8" s="114" t="s">
        <v>414</v>
      </c>
      <c r="M8" s="114" t="s">
        <v>414</v>
      </c>
      <c r="N8" s="114" t="s">
        <v>414</v>
      </c>
    </row>
    <row r="9">
      <c r="A9" s="318" t="str">
        <f>HYPERLINK("https://beartail.atlassian.net/browse/KH-2905?atlOrigin=eyJpIjoiYzgwYTQ0ZjEyNzQzNGJhN2JmNjEyZTM0NmRhZWZhNjIiLCJwIjoic2hlZXRzLWppcmEifQ","KH-2905")</f>
        <v>KH-2905</v>
      </c>
      <c r="B9" s="114" t="s">
        <v>423</v>
      </c>
      <c r="C9" s="114" t="s">
        <v>409</v>
      </c>
      <c r="D9" s="319">
        <v>45210.73390046296</v>
      </c>
      <c r="E9" s="319">
        <v>45229.8215162037</v>
      </c>
      <c r="F9" s="114" t="s">
        <v>417</v>
      </c>
      <c r="G9" s="318" t="str">
        <f t="shared" si="1"/>
        <v>KH-2809</v>
      </c>
      <c r="H9" s="114" t="s">
        <v>411</v>
      </c>
      <c r="I9" s="114" t="s">
        <v>412</v>
      </c>
      <c r="J9" s="114" t="s">
        <v>415</v>
      </c>
      <c r="K9" s="114" t="s">
        <v>413</v>
      </c>
      <c r="L9" s="114" t="s">
        <v>414</v>
      </c>
      <c r="M9" s="114" t="s">
        <v>414</v>
      </c>
      <c r="N9" s="114" t="s">
        <v>414</v>
      </c>
    </row>
    <row r="10">
      <c r="A10" s="318" t="str">
        <f>HYPERLINK("https://beartail.atlassian.net/browse/KH-2897?atlOrigin=eyJpIjoiYzgwYTQ0ZjEyNzQzNGJhN2JmNjEyZTM0NmRhZWZhNjIiLCJwIjoic2hlZXRzLWppcmEifQ","KH-2897")</f>
        <v>KH-2897</v>
      </c>
      <c r="B10" s="114" t="s">
        <v>424</v>
      </c>
      <c r="C10" s="114" t="s">
        <v>409</v>
      </c>
      <c r="D10" s="319">
        <v>45210.728125</v>
      </c>
      <c r="E10" s="319">
        <v>45245.37278935185</v>
      </c>
      <c r="F10" s="114" t="s">
        <v>417</v>
      </c>
      <c r="G10" s="318" t="str">
        <f t="shared" si="1"/>
        <v>KH-2809</v>
      </c>
      <c r="H10" s="114" t="s">
        <v>411</v>
      </c>
      <c r="I10" s="114" t="s">
        <v>412</v>
      </c>
      <c r="J10" s="114" t="s">
        <v>412</v>
      </c>
      <c r="K10" s="114" t="s">
        <v>413</v>
      </c>
      <c r="L10" s="114" t="s">
        <v>414</v>
      </c>
      <c r="M10" s="114" t="s">
        <v>414</v>
      </c>
      <c r="N10" s="114" t="s">
        <v>414</v>
      </c>
    </row>
    <row r="11">
      <c r="A11" s="318" t="str">
        <f>HYPERLINK("https://beartail.atlassian.net/browse/KH-2906?atlOrigin=eyJpIjoiYzgwYTQ0ZjEyNzQzNGJhN2JmNjEyZTM0NmRhZWZhNjIiLCJwIjoic2hlZXRzLWppcmEifQ","KH-2906")</f>
        <v>KH-2906</v>
      </c>
      <c r="B11" s="114" t="s">
        <v>425</v>
      </c>
      <c r="C11" s="114" t="s">
        <v>409</v>
      </c>
      <c r="D11" s="319">
        <v>45210.734085648146</v>
      </c>
      <c r="E11" s="319">
        <v>45243.63416666666</v>
      </c>
      <c r="F11" s="114" t="s">
        <v>417</v>
      </c>
      <c r="G11" s="318" t="str">
        <f t="shared" si="1"/>
        <v>KH-2809</v>
      </c>
      <c r="H11" s="114" t="s">
        <v>411</v>
      </c>
      <c r="I11" s="114" t="s">
        <v>412</v>
      </c>
      <c r="J11" s="114" t="s">
        <v>415</v>
      </c>
      <c r="K11" s="114" t="s">
        <v>413</v>
      </c>
      <c r="L11" s="114" t="s">
        <v>414</v>
      </c>
      <c r="M11" s="114" t="s">
        <v>414</v>
      </c>
      <c r="N11" s="114" t="s">
        <v>414</v>
      </c>
    </row>
    <row r="12">
      <c r="A12" s="318" t="str">
        <f>HYPERLINK("https://beartail.atlassian.net/browse/KH-2898?atlOrigin=eyJpIjoiYzgwYTQ0ZjEyNzQzNGJhN2JmNjEyZTM0NmRhZWZhNjIiLCJwIjoic2hlZXRzLWppcmEifQ","KH-2898")</f>
        <v>KH-2898</v>
      </c>
      <c r="B12" s="114" t="s">
        <v>426</v>
      </c>
      <c r="C12" s="114" t="s">
        <v>409</v>
      </c>
      <c r="D12" s="319">
        <v>45210.72875</v>
      </c>
      <c r="E12" s="319">
        <v>45244.72675925926</v>
      </c>
      <c r="F12" s="114" t="s">
        <v>417</v>
      </c>
      <c r="G12" s="318" t="str">
        <f t="shared" si="1"/>
        <v>KH-2809</v>
      </c>
      <c r="H12" s="114" t="s">
        <v>411</v>
      </c>
      <c r="I12" s="114" t="s">
        <v>412</v>
      </c>
      <c r="J12" s="114" t="s">
        <v>412</v>
      </c>
      <c r="K12" s="114" t="s">
        <v>413</v>
      </c>
      <c r="L12" s="114" t="s">
        <v>414</v>
      </c>
      <c r="M12" s="114" t="s">
        <v>414</v>
      </c>
      <c r="N12" s="114" t="s">
        <v>414</v>
      </c>
    </row>
    <row r="13">
      <c r="A13" s="318" t="str">
        <f>HYPERLINK("https://beartail.atlassian.net/browse/KH-2900?atlOrigin=eyJpIjoiYzgwYTQ0ZjEyNzQzNGJhN2JmNjEyZTM0NmRhZWZhNjIiLCJwIjoic2hlZXRzLWppcmEifQ","KH-2900")</f>
        <v>KH-2900</v>
      </c>
      <c r="B13" s="114" t="s">
        <v>427</v>
      </c>
      <c r="C13" s="114" t="s">
        <v>409</v>
      </c>
      <c r="D13" s="319">
        <v>45210.72929398148</v>
      </c>
      <c r="E13" s="319">
        <v>45245.372083333335</v>
      </c>
      <c r="F13" s="114" t="s">
        <v>417</v>
      </c>
      <c r="G13" s="318" t="str">
        <f t="shared" si="1"/>
        <v>KH-2809</v>
      </c>
      <c r="H13" s="114" t="s">
        <v>411</v>
      </c>
      <c r="I13" s="114" t="s">
        <v>412</v>
      </c>
      <c r="J13" s="114" t="s">
        <v>415</v>
      </c>
      <c r="K13" s="114" t="s">
        <v>413</v>
      </c>
      <c r="L13" s="114" t="s">
        <v>414</v>
      </c>
      <c r="M13" s="114" t="s">
        <v>414</v>
      </c>
      <c r="N13" s="114" t="s">
        <v>414</v>
      </c>
    </row>
    <row r="14">
      <c r="A14" s="318" t="str">
        <f>HYPERLINK("https://beartail.atlassian.net/browse/KH-2899?atlOrigin=eyJpIjoiYzgwYTQ0ZjEyNzQzNGJhN2JmNjEyZTM0NmRhZWZhNjIiLCJwIjoic2hlZXRzLWppcmEifQ","KH-2899")</f>
        <v>KH-2899</v>
      </c>
      <c r="B14" s="114" t="s">
        <v>428</v>
      </c>
      <c r="C14" s="114" t="s">
        <v>409</v>
      </c>
      <c r="D14" s="319">
        <v>45210.729050925926</v>
      </c>
      <c r="E14" s="319">
        <v>45245.37233796297</v>
      </c>
      <c r="F14" s="114" t="s">
        <v>417</v>
      </c>
      <c r="G14" s="318" t="str">
        <f t="shared" si="1"/>
        <v>KH-2809</v>
      </c>
      <c r="H14" s="114" t="s">
        <v>411</v>
      </c>
      <c r="I14" s="114" t="s">
        <v>412</v>
      </c>
      <c r="J14" s="114" t="s">
        <v>415</v>
      </c>
      <c r="K14" s="114" t="s">
        <v>413</v>
      </c>
      <c r="L14" s="114" t="s">
        <v>414</v>
      </c>
      <c r="M14" s="114" t="s">
        <v>414</v>
      </c>
      <c r="N14" s="114" t="s">
        <v>414</v>
      </c>
    </row>
    <row r="15">
      <c r="A15" s="318" t="str">
        <f>HYPERLINK("https://beartail.atlassian.net/browse/KH-2901?atlOrigin=eyJpIjoiYzgwYTQ0ZjEyNzQzNGJhN2JmNjEyZTM0NmRhZWZhNjIiLCJwIjoic2hlZXRzLWppcmEifQ","KH-2901")</f>
        <v>KH-2901</v>
      </c>
      <c r="B15" s="114" t="s">
        <v>429</v>
      </c>
      <c r="C15" s="114" t="s">
        <v>409</v>
      </c>
      <c r="D15" s="319">
        <v>45210.729583333334</v>
      </c>
      <c r="E15" s="319">
        <v>45245.373020833336</v>
      </c>
      <c r="F15" s="114" t="s">
        <v>417</v>
      </c>
      <c r="G15" s="318" t="str">
        <f t="shared" si="1"/>
        <v>KH-2809</v>
      </c>
      <c r="H15" s="114" t="s">
        <v>411</v>
      </c>
      <c r="I15" s="114" t="s">
        <v>412</v>
      </c>
      <c r="J15" s="114" t="s">
        <v>415</v>
      </c>
      <c r="K15" s="114" t="s">
        <v>413</v>
      </c>
      <c r="L15" s="114" t="s">
        <v>414</v>
      </c>
      <c r="M15" s="114" t="s">
        <v>414</v>
      </c>
      <c r="N15" s="114" t="s">
        <v>414</v>
      </c>
    </row>
    <row r="16">
      <c r="A16" s="318" t="str">
        <f>HYPERLINK("https://beartail.atlassian.net/browse/KH-3039?atlOrigin=eyJpIjoiYzgwYTQ0ZjEyNzQzNGJhN2JmNjEyZTM0NmRhZWZhNjIiLCJwIjoic2hlZXRzLWppcmEifQ","KH-3039")</f>
        <v>KH-3039</v>
      </c>
      <c r="B16" s="114" t="s">
        <v>430</v>
      </c>
      <c r="C16" s="114" t="s">
        <v>409</v>
      </c>
      <c r="D16" s="319">
        <v>45237.67201388889</v>
      </c>
      <c r="E16" s="319">
        <v>45245.39519675926</v>
      </c>
      <c r="F16" s="114" t="s">
        <v>417</v>
      </c>
      <c r="G16" s="318" t="str">
        <f t="shared" si="1"/>
        <v>KH-2809</v>
      </c>
      <c r="H16" s="114" t="s">
        <v>411</v>
      </c>
      <c r="I16" s="114" t="s">
        <v>412</v>
      </c>
      <c r="J16" s="114" t="s">
        <v>415</v>
      </c>
      <c r="K16" s="114" t="s">
        <v>413</v>
      </c>
      <c r="L16" s="114" t="s">
        <v>414</v>
      </c>
      <c r="M16" s="114" t="s">
        <v>414</v>
      </c>
      <c r="N16" s="114" t="s">
        <v>414</v>
      </c>
    </row>
    <row r="17">
      <c r="A17" s="318" t="str">
        <f>HYPERLINK("https://beartail.atlassian.net/browse/KH-3041?atlOrigin=eyJpIjoiYzgwYTQ0ZjEyNzQzNGJhN2JmNjEyZTM0NmRhZWZhNjIiLCJwIjoic2hlZXRzLWppcmEifQ","KH-3041")</f>
        <v>KH-3041</v>
      </c>
      <c r="B17" s="114" t="s">
        <v>431</v>
      </c>
      <c r="C17" s="114" t="s">
        <v>409</v>
      </c>
      <c r="D17" s="319">
        <v>45237.67229166667</v>
      </c>
      <c r="E17" s="319">
        <v>45252.571388888886</v>
      </c>
      <c r="F17" s="114" t="s">
        <v>417</v>
      </c>
      <c r="G17" s="318" t="str">
        <f t="shared" si="1"/>
        <v>KH-2809</v>
      </c>
      <c r="H17" s="114" t="s">
        <v>411</v>
      </c>
      <c r="I17" s="114" t="s">
        <v>412</v>
      </c>
      <c r="J17" s="114" t="s">
        <v>412</v>
      </c>
      <c r="K17" s="114" t="s">
        <v>413</v>
      </c>
      <c r="L17" s="114" t="s">
        <v>414</v>
      </c>
      <c r="M17" s="114" t="s">
        <v>414</v>
      </c>
      <c r="N17" s="114" t="s">
        <v>414</v>
      </c>
    </row>
    <row r="18">
      <c r="A18" s="318" t="str">
        <f>HYPERLINK("https://beartail.atlassian.net/browse/KH-3089?atlOrigin=eyJpIjoiYzgwYTQ0ZjEyNzQzNGJhN2JmNjEyZTM0NmRhZWZhNjIiLCJwIjoic2hlZXRzLWppcmEifQ","KH-3089")</f>
        <v>KH-3089</v>
      </c>
      <c r="B18" s="114" t="s">
        <v>432</v>
      </c>
      <c r="C18" s="114" t="s">
        <v>409</v>
      </c>
      <c r="D18" s="319">
        <v>45244.66341435185</v>
      </c>
      <c r="E18" s="319">
        <v>45252.844513888886</v>
      </c>
      <c r="F18" s="114" t="s">
        <v>417</v>
      </c>
      <c r="G18" s="318" t="str">
        <f t="shared" si="1"/>
        <v>KH-2809</v>
      </c>
      <c r="H18" s="114" t="s">
        <v>411</v>
      </c>
      <c r="I18" s="114" t="s">
        <v>415</v>
      </c>
      <c r="J18" s="114" t="s">
        <v>412</v>
      </c>
      <c r="K18" s="114" t="s">
        <v>413</v>
      </c>
      <c r="L18" s="114" t="s">
        <v>414</v>
      </c>
      <c r="M18" s="114" t="s">
        <v>414</v>
      </c>
      <c r="N18" s="114" t="s">
        <v>414</v>
      </c>
    </row>
    <row r="19">
      <c r="A19" s="318" t="str">
        <f>HYPERLINK("https://beartail.atlassian.net/browse/KH-3120?atlOrigin=eyJpIjoiYzgwYTQ0ZjEyNzQzNGJhN2JmNjEyZTM0NmRhZWZhNjIiLCJwIjoic2hlZXRzLWppcmEifQ","KH-3120")</f>
        <v>KH-3120</v>
      </c>
      <c r="B19" s="114" t="s">
        <v>433</v>
      </c>
      <c r="C19" s="114" t="s">
        <v>409</v>
      </c>
      <c r="D19" s="319">
        <v>45251.647523148145</v>
      </c>
      <c r="E19" s="319">
        <v>45257.41798611111</v>
      </c>
      <c r="F19" s="114" t="s">
        <v>417</v>
      </c>
      <c r="G19" s="318" t="str">
        <f t="shared" si="1"/>
        <v>KH-2809</v>
      </c>
      <c r="H19" s="114" t="s">
        <v>411</v>
      </c>
      <c r="I19" s="114" t="s">
        <v>412</v>
      </c>
      <c r="J19" s="114" t="s">
        <v>412</v>
      </c>
      <c r="K19" s="114" t="s">
        <v>413</v>
      </c>
      <c r="L19" s="114" t="s">
        <v>414</v>
      </c>
      <c r="M19" s="114" t="s">
        <v>414</v>
      </c>
      <c r="N19" s="114" t="s">
        <v>414</v>
      </c>
    </row>
    <row r="20">
      <c r="A20" s="318" t="str">
        <f>HYPERLINK("https://beartail.atlassian.net/browse/KH-3126?atlOrigin=eyJpIjoiYzgwYTQ0ZjEyNzQzNGJhN2JmNjEyZTM0NmRhZWZhNjIiLCJwIjoic2hlZXRzLWppcmEifQ","KH-3126")</f>
        <v>KH-3126</v>
      </c>
      <c r="B20" s="114" t="s">
        <v>434</v>
      </c>
      <c r="C20" s="114" t="s">
        <v>409</v>
      </c>
      <c r="D20" s="319">
        <v>45251.70087962963</v>
      </c>
      <c r="E20" s="319">
        <v>45261.51956018519</v>
      </c>
      <c r="F20" s="114" t="s">
        <v>417</v>
      </c>
      <c r="G20" s="318" t="str">
        <f t="shared" si="1"/>
        <v>KH-2809</v>
      </c>
      <c r="H20" s="114" t="s">
        <v>411</v>
      </c>
      <c r="I20" s="114" t="s">
        <v>412</v>
      </c>
      <c r="J20" s="114" t="s">
        <v>412</v>
      </c>
      <c r="K20" s="114" t="s">
        <v>413</v>
      </c>
      <c r="L20" s="114" t="s">
        <v>414</v>
      </c>
      <c r="M20" s="114" t="s">
        <v>414</v>
      </c>
      <c r="N20" s="114" t="s">
        <v>414</v>
      </c>
    </row>
    <row r="21">
      <c r="A21" s="318" t="str">
        <f>HYPERLINK("https://beartail.atlassian.net/browse/KH-3125?atlOrigin=eyJpIjoiYzgwYTQ0ZjEyNzQzNGJhN2JmNjEyZTM0NmRhZWZhNjIiLCJwIjoic2hlZXRzLWppcmEifQ","KH-3125")</f>
        <v>KH-3125</v>
      </c>
      <c r="B21" s="114" t="s">
        <v>435</v>
      </c>
      <c r="C21" s="114" t="s">
        <v>409</v>
      </c>
      <c r="D21" s="319">
        <v>45251.698171296295</v>
      </c>
      <c r="E21" s="319">
        <v>45261.48365740741</v>
      </c>
      <c r="F21" s="114" t="s">
        <v>436</v>
      </c>
      <c r="G21" s="318" t="str">
        <f t="shared" si="1"/>
        <v>KH-2809</v>
      </c>
      <c r="H21" s="114" t="s">
        <v>411</v>
      </c>
      <c r="I21" s="114" t="s">
        <v>437</v>
      </c>
      <c r="J21" s="114" t="s">
        <v>412</v>
      </c>
      <c r="K21" s="114" t="s">
        <v>413</v>
      </c>
      <c r="L21" s="114" t="s">
        <v>414</v>
      </c>
      <c r="M21" s="114" t="s">
        <v>414</v>
      </c>
      <c r="N21" s="114" t="s">
        <v>414</v>
      </c>
    </row>
    <row r="22">
      <c r="A22" s="318" t="str">
        <f>HYPERLINK("https://beartail.atlassian.net/browse/KH-3127?atlOrigin=eyJpIjoiYzgwYTQ0ZjEyNzQzNGJhN2JmNjEyZTM0NmRhZWZhNjIiLCJwIjoic2hlZXRzLWppcmEifQ","KH-3127")</f>
        <v>KH-3127</v>
      </c>
      <c r="B22" s="114" t="s">
        <v>438</v>
      </c>
      <c r="C22" s="114" t="s">
        <v>409</v>
      </c>
      <c r="D22" s="319">
        <v>45251.70431712963</v>
      </c>
      <c r="E22" s="319">
        <v>45261.44537037037</v>
      </c>
      <c r="F22" s="114" t="s">
        <v>436</v>
      </c>
      <c r="G22" s="318" t="str">
        <f t="shared" si="1"/>
        <v>KH-2809</v>
      </c>
      <c r="H22" s="114" t="s">
        <v>411</v>
      </c>
      <c r="I22" s="114" t="s">
        <v>437</v>
      </c>
      <c r="J22" s="114" t="s">
        <v>412</v>
      </c>
      <c r="K22" s="114" t="s">
        <v>413</v>
      </c>
      <c r="L22" s="114" t="s">
        <v>414</v>
      </c>
      <c r="M22" s="114" t="s">
        <v>414</v>
      </c>
      <c r="N22" s="114" t="s">
        <v>414</v>
      </c>
    </row>
    <row r="23">
      <c r="A23" s="318" t="str">
        <f>HYPERLINK("https://beartail.atlassian.net/browse/KH-3129?atlOrigin=eyJpIjoiYzgwYTQ0ZjEyNzQzNGJhN2JmNjEyZTM0NmRhZWZhNjIiLCJwIjoic2hlZXRzLWppcmEifQ","KH-3129")</f>
        <v>KH-3129</v>
      </c>
      <c r="B23" s="114" t="s">
        <v>439</v>
      </c>
      <c r="C23" s="114" t="s">
        <v>409</v>
      </c>
      <c r="D23" s="319">
        <v>45252.57732638889</v>
      </c>
      <c r="E23" s="319">
        <v>45272.70649305556</v>
      </c>
      <c r="F23" s="114" t="s">
        <v>417</v>
      </c>
      <c r="G23" s="318" t="str">
        <f t="shared" si="1"/>
        <v>KH-2809</v>
      </c>
      <c r="H23" s="114" t="s">
        <v>411</v>
      </c>
      <c r="I23" s="114" t="s">
        <v>412</v>
      </c>
      <c r="J23" s="114" t="s">
        <v>412</v>
      </c>
      <c r="K23" s="114" t="s">
        <v>413</v>
      </c>
      <c r="L23" s="114" t="s">
        <v>414</v>
      </c>
      <c r="M23" s="114" t="s">
        <v>414</v>
      </c>
      <c r="N23" s="114" t="s">
        <v>414</v>
      </c>
    </row>
    <row r="24">
      <c r="A24" s="318" t="str">
        <f>HYPERLINK("https://beartail.atlassian.net/browse/KH-3149?atlOrigin=eyJpIjoiYzgwYTQ0ZjEyNzQzNGJhN2JmNjEyZTM0NmRhZWZhNjIiLCJwIjoic2hlZXRzLWppcmEifQ","KH-3149")</f>
        <v>KH-3149</v>
      </c>
      <c r="B24" s="114" t="s">
        <v>440</v>
      </c>
      <c r="C24" s="114" t="s">
        <v>409</v>
      </c>
      <c r="D24" s="319">
        <v>45257.65085648148</v>
      </c>
      <c r="E24" s="319">
        <v>45271.6009837963</v>
      </c>
      <c r="F24" s="114" t="s">
        <v>436</v>
      </c>
      <c r="G24" s="318" t="str">
        <f t="shared" si="1"/>
        <v>KH-2809</v>
      </c>
      <c r="H24" s="114" t="s">
        <v>411</v>
      </c>
      <c r="I24" s="114" t="s">
        <v>437</v>
      </c>
      <c r="J24" s="114" t="s">
        <v>412</v>
      </c>
      <c r="K24" s="114" t="s">
        <v>413</v>
      </c>
      <c r="L24" s="114" t="s">
        <v>414</v>
      </c>
      <c r="M24" s="114" t="s">
        <v>414</v>
      </c>
      <c r="N24" s="114" t="s">
        <v>414</v>
      </c>
    </row>
    <row r="25">
      <c r="A25" s="318" t="str">
        <f>HYPERLINK("https://beartail.atlassian.net/browse/KH-3150?atlOrigin=eyJpIjoiYzgwYTQ0ZjEyNzQzNGJhN2JmNjEyZTM0NmRhZWZhNjIiLCJwIjoic2hlZXRzLWppcmEifQ","KH-3150")</f>
        <v>KH-3150</v>
      </c>
      <c r="B25" s="114" t="s">
        <v>441</v>
      </c>
      <c r="C25" s="114" t="s">
        <v>409</v>
      </c>
      <c r="D25" s="319">
        <v>45257.72142361111</v>
      </c>
      <c r="E25" s="319">
        <v>45268.736354166664</v>
      </c>
      <c r="F25" s="114" t="s">
        <v>436</v>
      </c>
      <c r="G25" s="318" t="str">
        <f t="shared" si="1"/>
        <v>KH-2809</v>
      </c>
      <c r="H25" s="114" t="s">
        <v>411</v>
      </c>
      <c r="I25" s="114" t="s">
        <v>437</v>
      </c>
      <c r="J25" s="114" t="s">
        <v>412</v>
      </c>
      <c r="K25" s="114" t="s">
        <v>413</v>
      </c>
      <c r="L25" s="114" t="s">
        <v>414</v>
      </c>
      <c r="M25" s="114" t="s">
        <v>414</v>
      </c>
      <c r="N25" s="114" t="s">
        <v>414</v>
      </c>
    </row>
    <row r="26">
      <c r="A26" s="318" t="str">
        <f>HYPERLINK("https://beartail.atlassian.net/browse/KH-3228?atlOrigin=eyJpIjoiYzgwYTQ0ZjEyNzQzNGJhN2JmNjEyZTM0NmRhZWZhNjIiLCJwIjoic2hlZXRzLWppcmEifQ","KH-3228")</f>
        <v>KH-3228</v>
      </c>
      <c r="B26" s="114" t="s">
        <v>442</v>
      </c>
      <c r="C26" s="114" t="s">
        <v>409</v>
      </c>
      <c r="D26" s="319">
        <v>45271.645625</v>
      </c>
      <c r="E26" s="319">
        <v>45279.74005787037</v>
      </c>
      <c r="F26" s="114" t="s">
        <v>436</v>
      </c>
      <c r="G26" s="318" t="str">
        <f t="shared" si="1"/>
        <v>KH-2809</v>
      </c>
      <c r="H26" s="114" t="s">
        <v>411</v>
      </c>
      <c r="I26" s="114" t="s">
        <v>437</v>
      </c>
      <c r="J26" s="114" t="s">
        <v>412</v>
      </c>
      <c r="K26" s="114" t="s">
        <v>413</v>
      </c>
      <c r="L26" s="114" t="s">
        <v>414</v>
      </c>
      <c r="M26" s="114" t="s">
        <v>414</v>
      </c>
      <c r="N26" s="114" t="s">
        <v>414</v>
      </c>
    </row>
    <row r="27">
      <c r="A27" s="318" t="str">
        <f>HYPERLINK("https://beartail.atlassian.net/browse/KH-3234?atlOrigin=eyJpIjoiYzgwYTQ0ZjEyNzQzNGJhN2JmNjEyZTM0NmRhZWZhNjIiLCJwIjoic2hlZXRzLWppcmEifQ","KH-3234")</f>
        <v>KH-3234</v>
      </c>
      <c r="B27" s="114" t="s">
        <v>443</v>
      </c>
      <c r="C27" s="114" t="s">
        <v>409</v>
      </c>
      <c r="D27" s="319">
        <v>45272.61515046296</v>
      </c>
      <c r="E27" s="319">
        <v>45287.06103009259</v>
      </c>
      <c r="F27" s="114" t="s">
        <v>417</v>
      </c>
      <c r="G27" s="318" t="str">
        <f t="shared" si="1"/>
        <v>KH-2809</v>
      </c>
      <c r="H27" s="114" t="s">
        <v>411</v>
      </c>
      <c r="I27" s="114" t="s">
        <v>412</v>
      </c>
      <c r="J27" s="114" t="s">
        <v>412</v>
      </c>
      <c r="K27" s="114" t="s">
        <v>413</v>
      </c>
      <c r="L27" s="114" t="s">
        <v>414</v>
      </c>
      <c r="M27" s="114" t="s">
        <v>414</v>
      </c>
      <c r="N27" s="114" t="s">
        <v>414</v>
      </c>
    </row>
    <row r="28">
      <c r="A28" s="318" t="str">
        <f>HYPERLINK("https://beartail.atlassian.net/browse/KH-3226?atlOrigin=eyJpIjoiYzgwYTQ0ZjEyNzQzNGJhN2JmNjEyZTM0NmRhZWZhNjIiLCJwIjoic2hlZXRzLWppcmEifQ","KH-3226")</f>
        <v>KH-3226</v>
      </c>
      <c r="B28" s="114" t="s">
        <v>444</v>
      </c>
      <c r="C28" s="114" t="s">
        <v>409</v>
      </c>
      <c r="D28" s="319">
        <v>45271.61204861111</v>
      </c>
      <c r="E28" s="319">
        <v>45272.65010416666</v>
      </c>
      <c r="F28" s="114" t="s">
        <v>436</v>
      </c>
      <c r="G28" s="318" t="str">
        <f t="shared" si="1"/>
        <v>KH-2809</v>
      </c>
      <c r="H28" s="114" t="s">
        <v>411</v>
      </c>
      <c r="I28" s="114" t="s">
        <v>437</v>
      </c>
      <c r="J28" s="114" t="s">
        <v>412</v>
      </c>
      <c r="K28" s="114" t="s">
        <v>413</v>
      </c>
      <c r="L28" s="114" t="s">
        <v>414</v>
      </c>
      <c r="M28" s="114" t="s">
        <v>414</v>
      </c>
      <c r="N28" s="114" t="s">
        <v>414</v>
      </c>
    </row>
    <row r="29">
      <c r="A29" s="318" t="str">
        <f>HYPERLINK("https://beartail.atlassian.net/browse/KH-3284?atlOrigin=eyJpIjoiYzgwYTQ0ZjEyNzQzNGJhN2JmNjEyZTM0NmRhZWZhNjIiLCJwIjoic2hlZXRzLWppcmEifQ","KH-3284")</f>
        <v>KH-3284</v>
      </c>
      <c r="B29" s="114" t="s">
        <v>445</v>
      </c>
      <c r="C29" s="114" t="s">
        <v>409</v>
      </c>
      <c r="D29" s="319">
        <v>45279.64517361111</v>
      </c>
      <c r="E29" s="319">
        <v>45286.61791666667</v>
      </c>
      <c r="F29" s="114" t="s">
        <v>417</v>
      </c>
      <c r="G29" s="318" t="str">
        <f t="shared" si="1"/>
        <v>KH-2809</v>
      </c>
      <c r="H29" s="114" t="s">
        <v>411</v>
      </c>
      <c r="I29" s="114" t="s">
        <v>412</v>
      </c>
      <c r="J29" s="114" t="s">
        <v>412</v>
      </c>
      <c r="K29" s="114" t="s">
        <v>413</v>
      </c>
      <c r="L29" s="114" t="s">
        <v>414</v>
      </c>
      <c r="M29" s="114" t="s">
        <v>414</v>
      </c>
      <c r="N29" s="114" t="s">
        <v>414</v>
      </c>
    </row>
    <row r="30">
      <c r="A30" s="318" t="str">
        <f>HYPERLINK("https://beartail.atlassian.net/browse/KH-3227?atlOrigin=eyJpIjoiYzgwYTQ0ZjEyNzQzNGJhN2JmNjEyZTM0NmRhZWZhNjIiLCJwIjoic2hlZXRzLWppcmEifQ","KH-3227")</f>
        <v>KH-3227</v>
      </c>
      <c r="B30" s="114" t="s">
        <v>446</v>
      </c>
      <c r="C30" s="114" t="s">
        <v>409</v>
      </c>
      <c r="D30" s="319">
        <v>45271.626435185186</v>
      </c>
      <c r="E30" s="319">
        <v>45272.529710648145</v>
      </c>
      <c r="F30" s="114" t="s">
        <v>436</v>
      </c>
      <c r="G30" s="318" t="str">
        <f t="shared" si="1"/>
        <v>KH-2809</v>
      </c>
      <c r="H30" s="114" t="s">
        <v>411</v>
      </c>
      <c r="I30" s="114" t="s">
        <v>437</v>
      </c>
      <c r="J30" s="114" t="s">
        <v>414</v>
      </c>
      <c r="K30" s="114" t="s">
        <v>413</v>
      </c>
      <c r="L30" s="114" t="s">
        <v>414</v>
      </c>
      <c r="M30" s="114" t="s">
        <v>414</v>
      </c>
      <c r="N30" s="114" t="s">
        <v>414</v>
      </c>
    </row>
    <row r="31">
      <c r="A31" s="318" t="str">
        <f>HYPERLINK("https://beartail.atlassian.net/browse/KH-3313?atlOrigin=eyJpIjoiYzgwYTQ0ZjEyNzQzNGJhN2JmNjEyZTM0NmRhZWZhNjIiLCJwIjoic2hlZXRzLWppcmEifQ","KH-3313")</f>
        <v>KH-3313</v>
      </c>
      <c r="B31" s="114" t="s">
        <v>447</v>
      </c>
      <c r="C31" s="114" t="s">
        <v>409</v>
      </c>
      <c r="D31" s="319">
        <v>45286.62383101852</v>
      </c>
      <c r="E31" s="319">
        <v>45301.74048611111</v>
      </c>
      <c r="F31" s="114" t="s">
        <v>417</v>
      </c>
      <c r="G31" s="318" t="str">
        <f t="shared" si="1"/>
        <v>KH-2809</v>
      </c>
      <c r="H31" s="114" t="s">
        <v>411</v>
      </c>
      <c r="I31" s="114" t="s">
        <v>412</v>
      </c>
      <c r="J31" s="114" t="s">
        <v>412</v>
      </c>
      <c r="K31" s="114" t="s">
        <v>413</v>
      </c>
      <c r="L31" s="114" t="s">
        <v>414</v>
      </c>
      <c r="M31" s="114" t="s">
        <v>414</v>
      </c>
      <c r="N31" s="114" t="s">
        <v>414</v>
      </c>
    </row>
    <row r="32">
      <c r="A32" s="318" t="str">
        <f>HYPERLINK("https://beartail.atlassian.net/browse/KH-3317?atlOrigin=eyJpIjoiYzgwYTQ0ZjEyNzQzNGJhN2JmNjEyZTM0NmRhZWZhNjIiLCJwIjoic2hlZXRzLWppcmEifQ","KH-3317")</f>
        <v>KH-3317</v>
      </c>
      <c r="B32" s="114" t="s">
        <v>448</v>
      </c>
      <c r="C32" s="114" t="s">
        <v>409</v>
      </c>
      <c r="D32" s="319">
        <v>45286.64059027778</v>
      </c>
      <c r="E32" s="319">
        <v>45301.74054398148</v>
      </c>
      <c r="F32" s="114" t="s">
        <v>417</v>
      </c>
      <c r="G32" s="318" t="str">
        <f t="shared" si="1"/>
        <v>KH-2809</v>
      </c>
      <c r="H32" s="114" t="s">
        <v>411</v>
      </c>
      <c r="I32" s="114" t="s">
        <v>412</v>
      </c>
      <c r="J32" s="114" t="s">
        <v>412</v>
      </c>
      <c r="K32" s="114" t="s">
        <v>413</v>
      </c>
      <c r="L32" s="114" t="s">
        <v>414</v>
      </c>
      <c r="M32" s="114" t="s">
        <v>414</v>
      </c>
      <c r="N32" s="114" t="s">
        <v>414</v>
      </c>
    </row>
    <row r="33">
      <c r="A33" s="318" t="str">
        <f>HYPERLINK("https://beartail.atlassian.net/browse/KH-3338?atlOrigin=eyJpIjoiYzgwYTQ0ZjEyNzQzNGJhN2JmNjEyZTM0NmRhZWZhNjIiLCJwIjoic2hlZXRzLWppcmEifQ","KH-3338")</f>
        <v>KH-3338</v>
      </c>
      <c r="B33" s="114" t="s">
        <v>449</v>
      </c>
      <c r="C33" s="114" t="s">
        <v>409</v>
      </c>
      <c r="D33" s="319">
        <v>45300.65100694444</v>
      </c>
      <c r="E33" s="319">
        <v>45307.6400462963</v>
      </c>
      <c r="F33" s="114" t="s">
        <v>417</v>
      </c>
      <c r="G33" s="318" t="str">
        <f t="shared" si="1"/>
        <v>KH-2809</v>
      </c>
      <c r="H33" s="114" t="s">
        <v>411</v>
      </c>
      <c r="I33" s="114" t="s">
        <v>412</v>
      </c>
      <c r="J33" s="114" t="s">
        <v>412</v>
      </c>
      <c r="K33" s="114" t="s">
        <v>413</v>
      </c>
      <c r="L33" s="114" t="s">
        <v>414</v>
      </c>
      <c r="M33" s="114" t="s">
        <v>414</v>
      </c>
      <c r="N33" s="114" t="s">
        <v>414</v>
      </c>
    </row>
    <row r="34">
      <c r="A34" s="318" t="str">
        <f>HYPERLINK("https://beartail.atlassian.net/browse/KH-3348?atlOrigin=eyJpIjoiYzgwYTQ0ZjEyNzQzNGJhN2JmNjEyZTM0NmRhZWZhNjIiLCJwIjoic2hlZXRzLWppcmEifQ","KH-3348")</f>
        <v>KH-3348</v>
      </c>
      <c r="B34" s="114" t="s">
        <v>450</v>
      </c>
      <c r="C34" s="114" t="s">
        <v>409</v>
      </c>
      <c r="D34" s="319">
        <v>45303.45045138889</v>
      </c>
      <c r="E34" s="319">
        <v>45321.65782407407</v>
      </c>
      <c r="F34" s="114" t="s">
        <v>417</v>
      </c>
      <c r="G34" s="318" t="str">
        <f t="shared" si="1"/>
        <v>KH-2809</v>
      </c>
      <c r="H34" s="114" t="s">
        <v>411</v>
      </c>
      <c r="I34" s="114" t="s">
        <v>412</v>
      </c>
      <c r="J34" s="114" t="s">
        <v>412</v>
      </c>
      <c r="K34" s="114" t="s">
        <v>413</v>
      </c>
      <c r="L34" s="114" t="s">
        <v>414</v>
      </c>
      <c r="M34" s="114" t="s">
        <v>414</v>
      </c>
      <c r="N34" s="114" t="s">
        <v>414</v>
      </c>
    </row>
    <row r="35">
      <c r="A35" s="318" t="str">
        <f>HYPERLINK("https://beartail.atlassian.net/browse/KH-3252?atlOrigin=eyJpIjoiYzgwYTQ0ZjEyNzQzNGJhN2JmNjEyZTM0NmRhZWZhNjIiLCJwIjoic2hlZXRzLWppcmEifQ","KH-3252")</f>
        <v>KH-3252</v>
      </c>
      <c r="B35" s="114" t="s">
        <v>451</v>
      </c>
      <c r="C35" s="114" t="s">
        <v>409</v>
      </c>
      <c r="D35" s="319">
        <v>45273.76211805556</v>
      </c>
      <c r="E35" s="319">
        <v>45278.48118055556</v>
      </c>
      <c r="F35" s="114" t="s">
        <v>436</v>
      </c>
      <c r="G35" s="318" t="str">
        <f t="shared" si="1"/>
        <v>KH-2809</v>
      </c>
      <c r="H35" s="114" t="s">
        <v>411</v>
      </c>
      <c r="I35" s="114" t="s">
        <v>452</v>
      </c>
      <c r="J35" s="114" t="s">
        <v>415</v>
      </c>
      <c r="K35" s="114" t="s">
        <v>453</v>
      </c>
      <c r="L35" s="114" t="s">
        <v>414</v>
      </c>
      <c r="M35" s="114" t="s">
        <v>414</v>
      </c>
      <c r="N35" s="114" t="s">
        <v>414</v>
      </c>
    </row>
    <row r="36">
      <c r="A36" s="318" t="str">
        <f>HYPERLINK("https://beartail.atlassian.net/browse/KH-3253?atlOrigin=eyJpIjoiYzgwYTQ0ZjEyNzQzNGJhN2JmNjEyZTM0NmRhZWZhNjIiLCJwIjoic2hlZXRzLWppcmEifQ","KH-3253")</f>
        <v>KH-3253</v>
      </c>
      <c r="B36" s="114" t="s">
        <v>454</v>
      </c>
      <c r="C36" s="114" t="s">
        <v>409</v>
      </c>
      <c r="D36" s="319">
        <v>45273.7722337963</v>
      </c>
      <c r="E36" s="319">
        <v>45278.48929398148</v>
      </c>
      <c r="F36" s="114" t="s">
        <v>455</v>
      </c>
      <c r="G36" s="318" t="str">
        <f t="shared" si="1"/>
        <v>KH-2809</v>
      </c>
      <c r="H36" s="114" t="s">
        <v>411</v>
      </c>
      <c r="I36" s="114" t="s">
        <v>412</v>
      </c>
      <c r="J36" s="114" t="s">
        <v>415</v>
      </c>
      <c r="K36" s="114" t="s">
        <v>413</v>
      </c>
      <c r="L36" s="114" t="s">
        <v>414</v>
      </c>
      <c r="M36" s="114" t="s">
        <v>414</v>
      </c>
      <c r="N36" s="114" t="s">
        <v>414</v>
      </c>
    </row>
    <row r="37">
      <c r="A37" s="318" t="str">
        <f>HYPERLINK("https://beartail.atlassian.net/browse/KH-3258?atlOrigin=eyJpIjoiYzgwYTQ0ZjEyNzQzNGJhN2JmNjEyZTM0NmRhZWZhNjIiLCJwIjoic2hlZXRzLWppcmEifQ","KH-3258")</f>
        <v>KH-3258</v>
      </c>
      <c r="B37" s="114" t="s">
        <v>456</v>
      </c>
      <c r="C37" s="114" t="s">
        <v>457</v>
      </c>
      <c r="D37" s="319">
        <v>45275.58636574074</v>
      </c>
      <c r="E37" s="114" t="s">
        <v>414</v>
      </c>
      <c r="F37" s="114" t="s">
        <v>458</v>
      </c>
      <c r="G37" s="318" t="str">
        <f t="shared" si="1"/>
        <v>KH-2809</v>
      </c>
      <c r="H37" s="114" t="s">
        <v>411</v>
      </c>
      <c r="I37" s="114" t="s">
        <v>412</v>
      </c>
      <c r="J37" s="114" t="s">
        <v>414</v>
      </c>
      <c r="K37" s="114" t="s">
        <v>413</v>
      </c>
      <c r="L37" s="114" t="s">
        <v>414</v>
      </c>
      <c r="M37" s="114" t="s">
        <v>414</v>
      </c>
      <c r="N37" s="114" t="s">
        <v>414</v>
      </c>
    </row>
    <row r="38">
      <c r="A38" s="318" t="str">
        <f>HYPERLINK("https://beartail.atlassian.net/browse/KH-3349?atlOrigin=eyJpIjoiYzgwYTQ0ZjEyNzQzNGJhN2JmNjEyZTM0NmRhZWZhNjIiLCJwIjoic2hlZXRzLWppcmEifQ","KH-3349")</f>
        <v>KH-3349</v>
      </c>
      <c r="B38" s="114" t="s">
        <v>459</v>
      </c>
      <c r="C38" s="114" t="s">
        <v>409</v>
      </c>
      <c r="D38" s="319">
        <v>45303.517476851855</v>
      </c>
      <c r="E38" s="319">
        <v>45335.60826388889</v>
      </c>
      <c r="F38" s="114" t="s">
        <v>417</v>
      </c>
      <c r="G38" s="318" t="str">
        <f t="shared" si="1"/>
        <v>KH-2809</v>
      </c>
      <c r="H38" s="114" t="s">
        <v>411</v>
      </c>
      <c r="I38" s="114" t="s">
        <v>412</v>
      </c>
      <c r="J38" s="114" t="s">
        <v>412</v>
      </c>
      <c r="K38" s="114" t="s">
        <v>413</v>
      </c>
      <c r="L38" s="114" t="s">
        <v>414</v>
      </c>
      <c r="M38" s="114" t="s">
        <v>414</v>
      </c>
      <c r="N38" s="114" t="s">
        <v>414</v>
      </c>
    </row>
    <row r="39">
      <c r="A39" s="318" t="str">
        <f>HYPERLINK("https://beartail.atlassian.net/browse/KH-3350?atlOrigin=eyJpIjoiYzgwYTQ0ZjEyNzQzNGJhN2JmNjEyZTM0NmRhZWZhNjIiLCJwIjoic2hlZXRzLWppcmEifQ","KH-3350")</f>
        <v>KH-3350</v>
      </c>
      <c r="B39" s="114" t="s">
        <v>460</v>
      </c>
      <c r="C39" s="114" t="s">
        <v>409</v>
      </c>
      <c r="D39" s="319">
        <v>45303.51880787037</v>
      </c>
      <c r="E39" s="319">
        <v>45338.678923611114</v>
      </c>
      <c r="F39" s="114" t="s">
        <v>417</v>
      </c>
      <c r="G39" s="318" t="str">
        <f t="shared" si="1"/>
        <v>KH-2809</v>
      </c>
      <c r="H39" s="114" t="s">
        <v>411</v>
      </c>
      <c r="I39" s="114" t="s">
        <v>412</v>
      </c>
      <c r="J39" s="114" t="s">
        <v>412</v>
      </c>
      <c r="K39" s="114" t="s">
        <v>413</v>
      </c>
      <c r="L39" s="114" t="s">
        <v>414</v>
      </c>
      <c r="M39" s="114" t="s">
        <v>414</v>
      </c>
      <c r="N39" s="114" t="s">
        <v>414</v>
      </c>
    </row>
    <row r="40">
      <c r="A40" s="318" t="str">
        <f>HYPERLINK("https://beartail.atlassian.net/browse/KH-3523?atlOrigin=eyJpIjoiYzgwYTQ0ZjEyNzQzNGJhN2JmNjEyZTM0NmRhZWZhNjIiLCJwIjoic2hlZXRzLWppcmEifQ","KH-3523")</f>
        <v>KH-3523</v>
      </c>
      <c r="B40" s="114" t="s">
        <v>461</v>
      </c>
      <c r="C40" s="114" t="s">
        <v>409</v>
      </c>
      <c r="D40" s="319">
        <v>45323.610185185185</v>
      </c>
      <c r="E40" s="319">
        <v>45335.608298611114</v>
      </c>
      <c r="F40" s="114" t="s">
        <v>417</v>
      </c>
      <c r="G40" s="318" t="str">
        <f t="shared" si="1"/>
        <v>KH-2809</v>
      </c>
      <c r="H40" s="114" t="s">
        <v>411</v>
      </c>
      <c r="I40" s="114" t="s">
        <v>412</v>
      </c>
      <c r="J40" s="114" t="s">
        <v>412</v>
      </c>
      <c r="K40" s="114" t="s">
        <v>413</v>
      </c>
      <c r="L40" s="114" t="s">
        <v>414</v>
      </c>
      <c r="M40" s="114" t="s">
        <v>414</v>
      </c>
      <c r="N40" s="114" t="s">
        <v>414</v>
      </c>
    </row>
    <row r="41">
      <c r="A41" s="318" t="str">
        <f>HYPERLINK("https://beartail.atlassian.net/browse/KH-3526?atlOrigin=eyJpIjoiYzgwYTQ0ZjEyNzQzNGJhN2JmNjEyZTM0NmRhZWZhNjIiLCJwIjoic2hlZXRzLWppcmEifQ","KH-3526")</f>
        <v>KH-3526</v>
      </c>
      <c r="B41" s="114" t="s">
        <v>462</v>
      </c>
      <c r="C41" s="114" t="s">
        <v>409</v>
      </c>
      <c r="D41" s="319">
        <v>45324.629166666666</v>
      </c>
      <c r="E41" s="319">
        <v>45341.463483796295</v>
      </c>
      <c r="F41" s="114" t="s">
        <v>417</v>
      </c>
      <c r="G41" s="318" t="str">
        <f t="shared" si="1"/>
        <v>KH-2809</v>
      </c>
      <c r="H41" s="114" t="s">
        <v>411</v>
      </c>
      <c r="I41" s="114" t="s">
        <v>412</v>
      </c>
      <c r="J41" s="114" t="s">
        <v>412</v>
      </c>
      <c r="K41" s="114" t="s">
        <v>413</v>
      </c>
      <c r="L41" s="114" t="s">
        <v>414</v>
      </c>
      <c r="M41" s="114" t="s">
        <v>414</v>
      </c>
      <c r="N41" s="114" t="s">
        <v>414</v>
      </c>
    </row>
    <row r="42">
      <c r="A42" s="318" t="str">
        <f>HYPERLINK("https://beartail.atlassian.net/browse/KH-3530?atlOrigin=eyJpIjoiYzgwYTQ0ZjEyNzQzNGJhN2JmNjEyZTM0NmRhZWZhNjIiLCJwIjoic2hlZXRzLWppcmEifQ","KH-3530")</f>
        <v>KH-3530</v>
      </c>
      <c r="B42" s="114" t="s">
        <v>463</v>
      </c>
      <c r="C42" s="114" t="s">
        <v>409</v>
      </c>
      <c r="D42" s="319">
        <v>45327.482453703706</v>
      </c>
      <c r="E42" s="319">
        <v>45341.4637037037</v>
      </c>
      <c r="F42" s="114" t="s">
        <v>417</v>
      </c>
      <c r="G42" s="318" t="str">
        <f t="shared" si="1"/>
        <v>KH-2809</v>
      </c>
      <c r="H42" s="114" t="s">
        <v>411</v>
      </c>
      <c r="I42" s="114" t="s">
        <v>412</v>
      </c>
      <c r="J42" s="114" t="s">
        <v>412</v>
      </c>
      <c r="K42" s="114" t="s">
        <v>413</v>
      </c>
      <c r="L42" s="114" t="s">
        <v>414</v>
      </c>
      <c r="M42" s="114" t="s">
        <v>414</v>
      </c>
      <c r="N42" s="114" t="s">
        <v>414</v>
      </c>
    </row>
    <row r="43">
      <c r="A43" s="318" t="str">
        <f>HYPERLINK("https://beartail.atlassian.net/browse/KH-3535?atlOrigin=eyJpIjoiYzgwYTQ0ZjEyNzQzNGJhN2JmNjEyZTM0NmRhZWZhNjIiLCJwIjoic2hlZXRzLWppcmEifQ","KH-3535")</f>
        <v>KH-3535</v>
      </c>
      <c r="B43" s="114" t="s">
        <v>464</v>
      </c>
      <c r="C43" s="114" t="s">
        <v>409</v>
      </c>
      <c r="D43" s="319">
        <v>45328.634791666664</v>
      </c>
      <c r="E43" s="319">
        <v>45337.439108796294</v>
      </c>
      <c r="F43" s="114" t="s">
        <v>417</v>
      </c>
      <c r="G43" s="318" t="str">
        <f t="shared" si="1"/>
        <v>KH-2809</v>
      </c>
      <c r="H43" s="114" t="s">
        <v>411</v>
      </c>
      <c r="I43" s="114" t="s">
        <v>412</v>
      </c>
      <c r="J43" s="114" t="s">
        <v>412</v>
      </c>
      <c r="K43" s="114" t="s">
        <v>413</v>
      </c>
      <c r="L43" s="114" t="s">
        <v>414</v>
      </c>
      <c r="M43" s="114" t="s">
        <v>414</v>
      </c>
      <c r="N43" s="114" t="s">
        <v>414</v>
      </c>
    </row>
    <row r="44">
      <c r="A44" s="318" t="str">
        <f>HYPERLINK("https://beartail.atlassian.net/browse/KH-3553?atlOrigin=eyJpIjoiYzgwYTQ0ZjEyNzQzNGJhN2JmNjEyZTM0NmRhZWZhNjIiLCJwIjoic2hlZXRzLWppcmEifQ","KH-3553")</f>
        <v>KH-3553</v>
      </c>
      <c r="B44" s="114" t="s">
        <v>465</v>
      </c>
      <c r="C44" s="114" t="s">
        <v>409</v>
      </c>
      <c r="D44" s="319">
        <v>45330.679236111115</v>
      </c>
      <c r="E44" s="319">
        <v>45335.43851851852</v>
      </c>
      <c r="F44" s="114" t="s">
        <v>436</v>
      </c>
      <c r="G44" s="318" t="str">
        <f t="shared" si="1"/>
        <v>KH-2809</v>
      </c>
      <c r="H44" s="114" t="s">
        <v>411</v>
      </c>
      <c r="I44" s="114" t="s">
        <v>452</v>
      </c>
      <c r="J44" s="114" t="s">
        <v>412</v>
      </c>
      <c r="K44" s="114" t="s">
        <v>413</v>
      </c>
      <c r="L44" s="114" t="s">
        <v>414</v>
      </c>
      <c r="M44" s="114" t="s">
        <v>414</v>
      </c>
      <c r="N44" s="114" t="s">
        <v>414</v>
      </c>
    </row>
    <row r="45">
      <c r="A45" s="318" t="str">
        <f>HYPERLINK("https://beartail.atlassian.net/browse/KH-3554?atlOrigin=eyJpIjoiYzgwYTQ0ZjEyNzQzNGJhN2JmNjEyZTM0NmRhZWZhNjIiLCJwIjoic2hlZXRzLWppcmEifQ","KH-3554")</f>
        <v>KH-3554</v>
      </c>
      <c r="B45" s="114" t="s">
        <v>466</v>
      </c>
      <c r="C45" s="114" t="s">
        <v>409</v>
      </c>
      <c r="D45" s="319">
        <v>45330.70369212963</v>
      </c>
      <c r="E45" s="319">
        <v>45335.391238425924</v>
      </c>
      <c r="F45" s="114" t="s">
        <v>436</v>
      </c>
      <c r="G45" s="318" t="str">
        <f t="shared" si="1"/>
        <v>KH-2809</v>
      </c>
      <c r="H45" s="114" t="s">
        <v>411</v>
      </c>
      <c r="I45" s="114" t="s">
        <v>452</v>
      </c>
      <c r="J45" s="114" t="s">
        <v>412</v>
      </c>
      <c r="K45" s="114" t="s">
        <v>413</v>
      </c>
      <c r="L45" s="114" t="s">
        <v>414</v>
      </c>
      <c r="M45" s="114" t="s">
        <v>414</v>
      </c>
      <c r="N45" s="114" t="s">
        <v>414</v>
      </c>
    </row>
    <row r="46">
      <c r="A46" s="318" t="str">
        <f>HYPERLINK("https://beartail.atlassian.net/browse/KH-3558?atlOrigin=eyJpIjoiYzgwYTQ0ZjEyNzQzNGJhN2JmNjEyZTM0NmRhZWZhNjIiLCJwIjoic2hlZXRzLWppcmEifQ","KH-3558")</f>
        <v>KH-3558</v>
      </c>
      <c r="B46" s="114" t="s">
        <v>467</v>
      </c>
      <c r="C46" s="114" t="s">
        <v>409</v>
      </c>
      <c r="D46" s="319">
        <v>45335.49016203704</v>
      </c>
      <c r="E46" s="319">
        <v>45337.651030092595</v>
      </c>
      <c r="F46" s="114" t="s">
        <v>436</v>
      </c>
      <c r="G46" s="318" t="str">
        <f t="shared" si="1"/>
        <v>KH-2809</v>
      </c>
      <c r="H46" s="114" t="s">
        <v>411</v>
      </c>
      <c r="I46" s="114" t="s">
        <v>452</v>
      </c>
      <c r="J46" s="114" t="s">
        <v>412</v>
      </c>
      <c r="K46" s="114" t="s">
        <v>413</v>
      </c>
      <c r="L46" s="114" t="s">
        <v>414</v>
      </c>
      <c r="M46" s="114" t="s">
        <v>414</v>
      </c>
      <c r="N46" s="114" t="s">
        <v>414</v>
      </c>
    </row>
    <row r="47">
      <c r="A47" s="318" t="str">
        <f>HYPERLINK("https://beartail.atlassian.net/browse/KH-3560?atlOrigin=eyJpIjoiYzgwYTQ0ZjEyNzQzNGJhN2JmNjEyZTM0NmRhZWZhNjIiLCJwIjoic2hlZXRzLWppcmEifQ","KH-3560")</f>
        <v>KH-3560</v>
      </c>
      <c r="B47" s="114" t="s">
        <v>468</v>
      </c>
      <c r="C47" s="114" t="s">
        <v>409</v>
      </c>
      <c r="D47" s="319">
        <v>45335.58273148148</v>
      </c>
      <c r="E47" s="319">
        <v>45337.71145833333</v>
      </c>
      <c r="F47" s="114" t="s">
        <v>436</v>
      </c>
      <c r="G47" s="318" t="str">
        <f t="shared" si="1"/>
        <v>KH-2809</v>
      </c>
      <c r="H47" s="114" t="s">
        <v>411</v>
      </c>
      <c r="I47" s="114" t="s">
        <v>452</v>
      </c>
      <c r="J47" s="114" t="s">
        <v>412</v>
      </c>
      <c r="K47" s="114" t="s">
        <v>413</v>
      </c>
      <c r="L47" s="114" t="s">
        <v>414</v>
      </c>
      <c r="M47" s="114" t="s">
        <v>414</v>
      </c>
      <c r="N47" s="114" t="s">
        <v>414</v>
      </c>
    </row>
    <row r="48">
      <c r="A48" s="318" t="str">
        <f>HYPERLINK("https://beartail.atlassian.net/browse/KH-3561?atlOrigin=eyJpIjoiYzgwYTQ0ZjEyNzQzNGJhN2JmNjEyZTM0NmRhZWZhNjIiLCJwIjoic2hlZXRzLWppcmEifQ","KH-3561")</f>
        <v>KH-3561</v>
      </c>
      <c r="B48" s="114" t="s">
        <v>469</v>
      </c>
      <c r="C48" s="114" t="s">
        <v>409</v>
      </c>
      <c r="D48" s="319">
        <v>45335.60841435185</v>
      </c>
      <c r="E48" s="319">
        <v>45337.658113425925</v>
      </c>
      <c r="F48" s="114" t="s">
        <v>436</v>
      </c>
      <c r="G48" s="318" t="str">
        <f t="shared" si="1"/>
        <v>KH-2809</v>
      </c>
      <c r="H48" s="114" t="s">
        <v>411</v>
      </c>
      <c r="I48" s="114" t="s">
        <v>452</v>
      </c>
      <c r="J48" s="114" t="s">
        <v>412</v>
      </c>
      <c r="K48" s="114" t="s">
        <v>413</v>
      </c>
      <c r="L48" s="114" t="s">
        <v>414</v>
      </c>
      <c r="M48" s="114" t="s">
        <v>414</v>
      </c>
      <c r="N48" s="114" t="s">
        <v>414</v>
      </c>
    </row>
    <row r="49">
      <c r="A49" s="318" t="str">
        <f>HYPERLINK("https://beartail.atlassian.net/browse/KH-3571?atlOrigin=eyJpIjoiYzgwYTQ0ZjEyNzQzNGJhN2JmNjEyZTM0NmRhZWZhNjIiLCJwIjoic2hlZXRzLWppcmEifQ","KH-3571")</f>
        <v>KH-3571</v>
      </c>
      <c r="B49" s="114" t="s">
        <v>470</v>
      </c>
      <c r="C49" s="114" t="s">
        <v>409</v>
      </c>
      <c r="D49" s="319">
        <v>45338.44702546296</v>
      </c>
      <c r="E49" s="319">
        <v>45344.51545138889</v>
      </c>
      <c r="F49" s="114" t="s">
        <v>417</v>
      </c>
      <c r="G49" s="318" t="str">
        <f t="shared" si="1"/>
        <v>KH-2809</v>
      </c>
      <c r="H49" s="114" t="s">
        <v>411</v>
      </c>
      <c r="I49" s="114" t="s">
        <v>412</v>
      </c>
      <c r="J49" s="114" t="s">
        <v>412</v>
      </c>
      <c r="K49" s="114" t="s">
        <v>413</v>
      </c>
      <c r="L49" s="114" t="s">
        <v>414</v>
      </c>
      <c r="M49" s="114" t="s">
        <v>414</v>
      </c>
      <c r="N49" s="114" t="s">
        <v>414</v>
      </c>
    </row>
    <row r="50">
      <c r="A50" s="318" t="str">
        <f>HYPERLINK("https://beartail.atlassian.net/browse/KH-3570?atlOrigin=eyJpIjoiYzgwYTQ0ZjEyNzQzNGJhN2JmNjEyZTM0NmRhZWZhNjIiLCJwIjoic2hlZXRzLWppcmEifQ","KH-3570")</f>
        <v>KH-3570</v>
      </c>
      <c r="B50" s="114" t="s">
        <v>471</v>
      </c>
      <c r="C50" s="114" t="s">
        <v>409</v>
      </c>
      <c r="D50" s="319">
        <v>45337.43829861111</v>
      </c>
      <c r="E50" s="319">
        <v>45351.43482638889</v>
      </c>
      <c r="F50" s="114" t="s">
        <v>417</v>
      </c>
      <c r="G50" s="318" t="str">
        <f t="shared" si="1"/>
        <v>KH-2809</v>
      </c>
      <c r="H50" s="114" t="s">
        <v>411</v>
      </c>
      <c r="I50" s="114" t="s">
        <v>412</v>
      </c>
      <c r="J50" s="114" t="s">
        <v>412</v>
      </c>
      <c r="K50" s="114" t="s">
        <v>413</v>
      </c>
      <c r="L50" s="114" t="s">
        <v>414</v>
      </c>
      <c r="M50" s="114" t="s">
        <v>414</v>
      </c>
      <c r="N50" s="114" t="s">
        <v>414</v>
      </c>
    </row>
    <row r="51">
      <c r="A51" s="318" t="str">
        <f>HYPERLINK("https://beartail.atlassian.net/browse/KH-3573?atlOrigin=eyJpIjoiYzgwYTQ0ZjEyNzQzNGJhN2JmNjEyZTM0NmRhZWZhNjIiLCJwIjoic2hlZXRzLWppcmEifQ","KH-3573")</f>
        <v>KH-3573</v>
      </c>
      <c r="B51" s="114" t="s">
        <v>472</v>
      </c>
      <c r="C51" s="114" t="s">
        <v>409</v>
      </c>
      <c r="D51" s="319">
        <v>45341.46412037037</v>
      </c>
      <c r="E51" s="319">
        <v>45351.701828703706</v>
      </c>
      <c r="F51" s="114" t="s">
        <v>417</v>
      </c>
      <c r="G51" s="318" t="str">
        <f t="shared" si="1"/>
        <v>KH-2809</v>
      </c>
      <c r="H51" s="114" t="s">
        <v>411</v>
      </c>
      <c r="I51" s="114" t="s">
        <v>412</v>
      </c>
      <c r="J51" s="114" t="s">
        <v>412</v>
      </c>
      <c r="K51" s="114" t="s">
        <v>413</v>
      </c>
      <c r="L51" s="114" t="s">
        <v>414</v>
      </c>
      <c r="M51" s="114" t="s">
        <v>414</v>
      </c>
      <c r="N51" s="114" t="s">
        <v>414</v>
      </c>
    </row>
    <row r="52">
      <c r="A52" s="318" t="str">
        <f>HYPERLINK("https://beartail.atlassian.net/browse/KH-3602?atlOrigin=eyJpIjoiYzgwYTQ0ZjEyNzQzNGJhN2JmNjEyZTM0NmRhZWZhNjIiLCJwIjoic2hlZXRzLWppcmEifQ","KH-3602")</f>
        <v>KH-3602</v>
      </c>
      <c r="B52" s="114" t="s">
        <v>473</v>
      </c>
      <c r="C52" s="114" t="s">
        <v>409</v>
      </c>
      <c r="D52" s="319">
        <v>45352.73228009259</v>
      </c>
      <c r="E52" s="319">
        <v>45363.55685185185</v>
      </c>
      <c r="F52" s="114" t="s">
        <v>417</v>
      </c>
      <c r="G52" s="318" t="str">
        <f t="shared" si="1"/>
        <v>KH-2809</v>
      </c>
      <c r="H52" s="114" t="s">
        <v>411</v>
      </c>
      <c r="I52" s="114" t="s">
        <v>412</v>
      </c>
      <c r="J52" s="114" t="s">
        <v>412</v>
      </c>
      <c r="K52" s="114" t="s">
        <v>413</v>
      </c>
      <c r="L52" s="114" t="s">
        <v>414</v>
      </c>
      <c r="M52" s="114" t="s">
        <v>414</v>
      </c>
      <c r="N52" s="114" t="s">
        <v>414</v>
      </c>
    </row>
    <row r="53">
      <c r="A53" s="318" t="str">
        <f>HYPERLINK("https://beartail.atlassian.net/browse/KH-3603?atlOrigin=eyJpIjoiYzgwYTQ0ZjEyNzQzNGJhN2JmNjEyZTM0NmRhZWZhNjIiLCJwIjoic2hlZXRzLWppcmEifQ","KH-3603")</f>
        <v>KH-3603</v>
      </c>
      <c r="B53" s="114" t="s">
        <v>474</v>
      </c>
      <c r="C53" s="114" t="s">
        <v>409</v>
      </c>
      <c r="D53" s="319">
        <v>45352.73303240741</v>
      </c>
      <c r="E53" s="319">
        <v>45358.55446759259</v>
      </c>
      <c r="F53" s="114" t="s">
        <v>417</v>
      </c>
      <c r="G53" s="318" t="str">
        <f t="shared" si="1"/>
        <v>KH-2809</v>
      </c>
      <c r="H53" s="114" t="s">
        <v>411</v>
      </c>
      <c r="I53" s="114" t="s">
        <v>412</v>
      </c>
      <c r="J53" s="114" t="s">
        <v>412</v>
      </c>
      <c r="K53" s="114" t="s">
        <v>413</v>
      </c>
      <c r="L53" s="114" t="s">
        <v>414</v>
      </c>
      <c r="M53" s="114" t="s">
        <v>414</v>
      </c>
      <c r="N53" s="114" t="s">
        <v>414</v>
      </c>
    </row>
    <row r="54">
      <c r="A54" s="318" t="str">
        <f>HYPERLINK("https://beartail.atlassian.net/browse/KH-3604?atlOrigin=eyJpIjoiYzgwYTQ0ZjEyNzQzNGJhN2JmNjEyZTM0NmRhZWZhNjIiLCJwIjoic2hlZXRzLWppcmEifQ","KH-3604")</f>
        <v>KH-3604</v>
      </c>
      <c r="B54" s="114" t="s">
        <v>475</v>
      </c>
      <c r="C54" s="114" t="s">
        <v>409</v>
      </c>
      <c r="D54" s="319">
        <v>45352.73335648148</v>
      </c>
      <c r="E54" s="319">
        <v>45358.554502314815</v>
      </c>
      <c r="F54" s="114" t="s">
        <v>417</v>
      </c>
      <c r="G54" s="318" t="str">
        <f t="shared" si="1"/>
        <v>KH-2809</v>
      </c>
      <c r="H54" s="114" t="s">
        <v>411</v>
      </c>
      <c r="I54" s="114" t="s">
        <v>412</v>
      </c>
      <c r="J54" s="114" t="s">
        <v>412</v>
      </c>
      <c r="K54" s="114" t="s">
        <v>413</v>
      </c>
      <c r="L54" s="114" t="s">
        <v>414</v>
      </c>
      <c r="M54" s="114" t="s">
        <v>414</v>
      </c>
      <c r="N54" s="114" t="s">
        <v>414</v>
      </c>
    </row>
    <row r="55">
      <c r="A55" s="318" t="str">
        <f>HYPERLINK("https://beartail.atlassian.net/browse/KH-3605?atlOrigin=eyJpIjoiYzgwYTQ0ZjEyNzQzNGJhN2JmNjEyZTM0NmRhZWZhNjIiLCJwIjoic2hlZXRzLWppcmEifQ","KH-3605")</f>
        <v>KH-3605</v>
      </c>
      <c r="B55" s="114" t="s">
        <v>476</v>
      </c>
      <c r="C55" s="114" t="s">
        <v>409</v>
      </c>
      <c r="D55" s="319">
        <v>45352.73369212963</v>
      </c>
      <c r="E55" s="319">
        <v>45366.390648148146</v>
      </c>
      <c r="F55" s="114" t="s">
        <v>417</v>
      </c>
      <c r="G55" s="318" t="str">
        <f t="shared" si="1"/>
        <v>KH-2809</v>
      </c>
      <c r="H55" s="114" t="s">
        <v>411</v>
      </c>
      <c r="I55" s="114" t="s">
        <v>412</v>
      </c>
      <c r="J55" s="114" t="s">
        <v>412</v>
      </c>
      <c r="K55" s="114" t="s">
        <v>413</v>
      </c>
      <c r="L55" s="114" t="s">
        <v>414</v>
      </c>
      <c r="M55" s="114" t="s">
        <v>414</v>
      </c>
      <c r="N55" s="114" t="s">
        <v>414</v>
      </c>
    </row>
    <row r="56">
      <c r="A56" s="318" t="str">
        <f>HYPERLINK("https://beartail.atlassian.net/browse/KH-3606?atlOrigin=eyJpIjoiYzgwYTQ0ZjEyNzQzNGJhN2JmNjEyZTM0NmRhZWZhNjIiLCJwIjoic2hlZXRzLWppcmEifQ","KH-3606")</f>
        <v>KH-3606</v>
      </c>
      <c r="B56" s="114" t="s">
        <v>477</v>
      </c>
      <c r="C56" s="114" t="s">
        <v>409</v>
      </c>
      <c r="D56" s="319">
        <v>45352.734085648146</v>
      </c>
      <c r="E56" s="319">
        <v>45377.390335648146</v>
      </c>
      <c r="F56" s="114" t="s">
        <v>417</v>
      </c>
      <c r="G56" s="318" t="str">
        <f t="shared" si="1"/>
        <v>KH-2809</v>
      </c>
      <c r="H56" s="114" t="s">
        <v>411</v>
      </c>
      <c r="I56" s="114" t="s">
        <v>412</v>
      </c>
      <c r="J56" s="114" t="s">
        <v>412</v>
      </c>
      <c r="K56" s="114" t="s">
        <v>413</v>
      </c>
      <c r="L56" s="114" t="s">
        <v>414</v>
      </c>
      <c r="M56" s="114" t="s">
        <v>414</v>
      </c>
      <c r="N56" s="114" t="s">
        <v>414</v>
      </c>
    </row>
    <row r="57">
      <c r="A57" s="318" t="str">
        <f>HYPERLINK("https://beartail.atlassian.net/browse/KH-3607?atlOrigin=eyJpIjoiYzgwYTQ0ZjEyNzQzNGJhN2JmNjEyZTM0NmRhZWZhNjIiLCJwIjoic2hlZXRzLWppcmEifQ","KH-3607")</f>
        <v>KH-3607</v>
      </c>
      <c r="B57" s="114" t="s">
        <v>478</v>
      </c>
      <c r="C57" s="114" t="s">
        <v>409</v>
      </c>
      <c r="D57" s="319">
        <v>45352.734456018516</v>
      </c>
      <c r="E57" s="319">
        <v>45377.3903587963</v>
      </c>
      <c r="F57" s="114" t="s">
        <v>417</v>
      </c>
      <c r="G57" s="318" t="str">
        <f t="shared" si="1"/>
        <v>KH-2809</v>
      </c>
      <c r="H57" s="114" t="s">
        <v>411</v>
      </c>
      <c r="I57" s="114" t="s">
        <v>412</v>
      </c>
      <c r="J57" s="114" t="s">
        <v>412</v>
      </c>
      <c r="K57" s="114" t="s">
        <v>413</v>
      </c>
      <c r="L57" s="114" t="s">
        <v>414</v>
      </c>
      <c r="M57" s="114" t="s">
        <v>414</v>
      </c>
      <c r="N57" s="114" t="s">
        <v>414</v>
      </c>
    </row>
    <row r="58">
      <c r="A58" s="318" t="str">
        <f>HYPERLINK("https://beartail.atlassian.net/browse/KH-3608?atlOrigin=eyJpIjoiYzgwYTQ0ZjEyNzQzNGJhN2JmNjEyZTM0NmRhZWZhNjIiLCJwIjoic2hlZXRzLWppcmEifQ","KH-3608")</f>
        <v>KH-3608</v>
      </c>
      <c r="B58" s="114" t="s">
        <v>479</v>
      </c>
      <c r="C58" s="114" t="s">
        <v>409</v>
      </c>
      <c r="D58" s="319">
        <v>45352.73480324074</v>
      </c>
      <c r="E58" s="319">
        <v>45384.500868055555</v>
      </c>
      <c r="F58" s="114" t="s">
        <v>417</v>
      </c>
      <c r="G58" s="318" t="str">
        <f t="shared" si="1"/>
        <v>KH-2809</v>
      </c>
      <c r="H58" s="114" t="s">
        <v>411</v>
      </c>
      <c r="I58" s="114" t="s">
        <v>412</v>
      </c>
      <c r="J58" s="114" t="s">
        <v>412</v>
      </c>
      <c r="K58" s="114" t="s">
        <v>413</v>
      </c>
      <c r="L58" s="114" t="s">
        <v>414</v>
      </c>
      <c r="M58" s="114" t="s">
        <v>414</v>
      </c>
      <c r="N58" s="114" t="s">
        <v>414</v>
      </c>
    </row>
    <row r="59">
      <c r="A59" s="318" t="str">
        <f>HYPERLINK("https://beartail.atlassian.net/browse/KH-3664?atlOrigin=eyJpIjoiYzgwYTQ0ZjEyNzQzNGJhN2JmNjEyZTM0NmRhZWZhNjIiLCJwIjoic2hlZXRzLWppcmEifQ","KH-3664")</f>
        <v>KH-3664</v>
      </c>
      <c r="B59" s="114" t="s">
        <v>480</v>
      </c>
      <c r="C59" s="114" t="s">
        <v>409</v>
      </c>
      <c r="D59" s="319">
        <v>45372.748819444445</v>
      </c>
      <c r="E59" s="319">
        <v>45391.43373842593</v>
      </c>
      <c r="F59" s="114" t="s">
        <v>417</v>
      </c>
      <c r="G59" s="318" t="str">
        <f t="shared" si="1"/>
        <v>KH-2809</v>
      </c>
      <c r="H59" s="114" t="s">
        <v>411</v>
      </c>
      <c r="I59" s="114" t="s">
        <v>412</v>
      </c>
      <c r="J59" s="114" t="s">
        <v>412</v>
      </c>
      <c r="K59" s="114" t="s">
        <v>413</v>
      </c>
      <c r="L59" s="114" t="s">
        <v>414</v>
      </c>
      <c r="M59" s="114" t="s">
        <v>414</v>
      </c>
      <c r="N59" s="114" t="s">
        <v>414</v>
      </c>
    </row>
    <row r="60">
      <c r="A60" s="318" t="str">
        <f>HYPERLINK("https://beartail.atlassian.net/browse/KH-3609?atlOrigin=eyJpIjoiYzgwYTQ0ZjEyNzQzNGJhN2JmNjEyZTM0NmRhZWZhNjIiLCJwIjoic2hlZXRzLWppcmEifQ","KH-3609")</f>
        <v>KH-3609</v>
      </c>
      <c r="B60" s="114" t="s">
        <v>481</v>
      </c>
      <c r="C60" s="114" t="s">
        <v>409</v>
      </c>
      <c r="D60" s="319">
        <v>45352.73510416667</v>
      </c>
      <c r="E60" s="319">
        <v>45393.48131944444</v>
      </c>
      <c r="F60" s="114" t="s">
        <v>417</v>
      </c>
      <c r="G60" s="318" t="str">
        <f t="shared" si="1"/>
        <v>KH-2809</v>
      </c>
      <c r="H60" s="114" t="s">
        <v>411</v>
      </c>
      <c r="I60" s="114" t="s">
        <v>412</v>
      </c>
      <c r="J60" s="114" t="s">
        <v>412</v>
      </c>
      <c r="K60" s="114" t="s">
        <v>413</v>
      </c>
      <c r="L60" s="114" t="s">
        <v>414</v>
      </c>
      <c r="M60" s="114" t="s">
        <v>414</v>
      </c>
      <c r="N60" s="114" t="s">
        <v>414</v>
      </c>
    </row>
    <row r="61">
      <c r="A61" s="318" t="str">
        <f>HYPERLINK("https://beartail.atlassian.net/browse/KH-3610?atlOrigin=eyJpIjoiYzgwYTQ0ZjEyNzQzNGJhN2JmNjEyZTM0NmRhZWZhNjIiLCJwIjoic2hlZXRzLWppcmEifQ","KH-3610")</f>
        <v>KH-3610</v>
      </c>
      <c r="B61" s="114" t="s">
        <v>482</v>
      </c>
      <c r="C61" s="114" t="s">
        <v>409</v>
      </c>
      <c r="D61" s="319">
        <v>45352.735451388886</v>
      </c>
      <c r="E61" s="319">
        <v>45393.48136574074</v>
      </c>
      <c r="F61" s="114" t="s">
        <v>417</v>
      </c>
      <c r="G61" s="318" t="str">
        <f t="shared" si="1"/>
        <v>KH-2809</v>
      </c>
      <c r="H61" s="114" t="s">
        <v>411</v>
      </c>
      <c r="I61" s="114" t="s">
        <v>412</v>
      </c>
      <c r="J61" s="114" t="s">
        <v>412</v>
      </c>
      <c r="K61" s="114" t="s">
        <v>413</v>
      </c>
      <c r="L61" s="114" t="s">
        <v>414</v>
      </c>
      <c r="M61" s="114" t="s">
        <v>414</v>
      </c>
      <c r="N61" s="114" t="s">
        <v>414</v>
      </c>
    </row>
    <row r="62">
      <c r="A62" s="318" t="str">
        <f>HYPERLINK("https://beartail.atlassian.net/browse/KH-3711?atlOrigin=eyJpIjoiYzgwYTQ0ZjEyNzQzNGJhN2JmNjEyZTM0NmRhZWZhNjIiLCJwIjoic2hlZXRzLWppcmEifQ","KH-3711")</f>
        <v>KH-3711</v>
      </c>
      <c r="B62" s="114" t="s">
        <v>483</v>
      </c>
      <c r="C62" s="114" t="s">
        <v>409</v>
      </c>
      <c r="D62" s="319">
        <v>45391.62457175926</v>
      </c>
      <c r="E62" s="319">
        <v>45398.40116898148</v>
      </c>
      <c r="F62" s="114" t="s">
        <v>417</v>
      </c>
      <c r="G62" s="318" t="str">
        <f t="shared" si="1"/>
        <v>KH-2809</v>
      </c>
      <c r="H62" s="114" t="s">
        <v>411</v>
      </c>
      <c r="I62" s="114" t="s">
        <v>412</v>
      </c>
      <c r="J62" s="114" t="s">
        <v>412</v>
      </c>
      <c r="K62" s="114" t="s">
        <v>413</v>
      </c>
      <c r="L62" s="114" t="s">
        <v>414</v>
      </c>
      <c r="M62" s="114" t="s">
        <v>414</v>
      </c>
      <c r="N62" s="114" t="s">
        <v>414</v>
      </c>
    </row>
    <row r="63">
      <c r="A63" s="318" t="str">
        <f>HYPERLINK("https://beartail.atlassian.net/browse/KH-3717?atlOrigin=eyJpIjoiYzgwYTQ0ZjEyNzQzNGJhN2JmNjEyZTM0NmRhZWZhNjIiLCJwIjoic2hlZXRzLWppcmEifQ","KH-3717")</f>
        <v>KH-3717</v>
      </c>
      <c r="B63" s="114" t="s">
        <v>484</v>
      </c>
      <c r="C63" s="114" t="s">
        <v>409</v>
      </c>
      <c r="D63" s="319">
        <v>45391.74491898148</v>
      </c>
      <c r="E63" s="319">
        <v>45392.487129629626</v>
      </c>
      <c r="F63" s="114" t="s">
        <v>455</v>
      </c>
      <c r="G63" s="318" t="str">
        <f t="shared" si="1"/>
        <v>KH-2809</v>
      </c>
      <c r="H63" s="114" t="s">
        <v>411</v>
      </c>
      <c r="I63" s="114" t="s">
        <v>452</v>
      </c>
      <c r="J63" s="114" t="s">
        <v>412</v>
      </c>
      <c r="K63" s="114" t="s">
        <v>413</v>
      </c>
      <c r="L63" s="114" t="s">
        <v>414</v>
      </c>
      <c r="M63" s="114" t="s">
        <v>414</v>
      </c>
      <c r="N63" s="114" t="s">
        <v>414</v>
      </c>
    </row>
    <row r="64">
      <c r="A64" s="318" t="str">
        <f>HYPERLINK("https://beartail.atlassian.net/browse/KH-3720?atlOrigin=eyJpIjoiYzgwYTQ0ZjEyNzQzNGJhN2JmNjEyZTM0NmRhZWZhNjIiLCJwIjoic2hlZXRzLWppcmEifQ","KH-3720")</f>
        <v>KH-3720</v>
      </c>
      <c r="B64" s="114" t="s">
        <v>485</v>
      </c>
      <c r="C64" s="114" t="s">
        <v>409</v>
      </c>
      <c r="D64" s="319">
        <v>45392.68204861111</v>
      </c>
      <c r="E64" s="319">
        <v>45393.55925925926</v>
      </c>
      <c r="F64" s="114" t="s">
        <v>455</v>
      </c>
      <c r="G64" s="318" t="str">
        <f t="shared" si="1"/>
        <v>KH-2809</v>
      </c>
      <c r="H64" s="114" t="s">
        <v>411</v>
      </c>
      <c r="I64" s="114" t="s">
        <v>452</v>
      </c>
      <c r="J64" s="114" t="s">
        <v>412</v>
      </c>
      <c r="K64" s="114" t="s">
        <v>413</v>
      </c>
      <c r="L64" s="114" t="s">
        <v>414</v>
      </c>
      <c r="M64" s="114" t="s">
        <v>414</v>
      </c>
      <c r="N64" s="114" t="s">
        <v>414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88"/>
      <c r="C1" s="289"/>
    </row>
    <row r="2">
      <c r="B2" s="290" t="s">
        <v>352</v>
      </c>
      <c r="E2" s="291" t="s">
        <v>353</v>
      </c>
      <c r="F2" s="292"/>
      <c r="G2" s="293"/>
    </row>
    <row r="3">
      <c r="B3" s="294" t="s">
        <v>244</v>
      </c>
      <c r="C3" s="295" t="s">
        <v>354</v>
      </c>
      <c r="D3" s="296" t="s">
        <v>355</v>
      </c>
      <c r="E3" s="297" t="s">
        <v>356</v>
      </c>
      <c r="F3" s="297" t="s">
        <v>357</v>
      </c>
      <c r="G3" s="297" t="s">
        <v>358</v>
      </c>
      <c r="H3" s="320" t="s">
        <v>486</v>
      </c>
      <c r="I3" s="320" t="s">
        <v>247</v>
      </c>
    </row>
    <row r="4">
      <c r="B4" s="299">
        <v>1.0</v>
      </c>
      <c r="C4" s="300" t="s">
        <v>359</v>
      </c>
      <c r="D4" s="301" t="s">
        <v>487</v>
      </c>
      <c r="E4" s="321"/>
      <c r="F4" s="322"/>
      <c r="G4" s="322"/>
      <c r="H4" s="302" t="s">
        <v>64</v>
      </c>
      <c r="I4" s="279"/>
    </row>
    <row r="5">
      <c r="B5" s="299">
        <v>2.0</v>
      </c>
      <c r="C5" s="304"/>
      <c r="D5" s="301" t="s">
        <v>488</v>
      </c>
      <c r="E5" s="321"/>
      <c r="F5" s="322"/>
      <c r="G5" s="322"/>
      <c r="H5" s="323" t="s">
        <v>64</v>
      </c>
      <c r="I5" s="279"/>
    </row>
    <row r="6">
      <c r="B6" s="299">
        <v>3.0</v>
      </c>
      <c r="C6" s="305" t="s">
        <v>362</v>
      </c>
      <c r="D6" s="301" t="s">
        <v>489</v>
      </c>
      <c r="E6" s="321"/>
      <c r="F6" s="322"/>
      <c r="G6" s="322"/>
      <c r="H6" s="323" t="s">
        <v>64</v>
      </c>
      <c r="I6" s="279"/>
    </row>
    <row r="7">
      <c r="B7" s="299">
        <v>4.0</v>
      </c>
      <c r="C7" s="305" t="s">
        <v>366</v>
      </c>
      <c r="D7" s="301" t="s">
        <v>490</v>
      </c>
      <c r="E7" s="321"/>
      <c r="F7" s="322"/>
      <c r="G7" s="322"/>
      <c r="H7" s="323" t="s">
        <v>64</v>
      </c>
      <c r="I7" s="279"/>
    </row>
    <row r="8">
      <c r="B8" s="299">
        <v>5.0</v>
      </c>
      <c r="C8" s="305" t="s">
        <v>491</v>
      </c>
      <c r="D8" s="301" t="s">
        <v>492</v>
      </c>
      <c r="E8" s="322"/>
      <c r="F8" s="321"/>
      <c r="G8" s="322"/>
      <c r="H8" s="302" t="s">
        <v>64</v>
      </c>
      <c r="I8" s="279"/>
    </row>
    <row r="9">
      <c r="B9" s="299">
        <v>6.0</v>
      </c>
      <c r="C9" s="305" t="s">
        <v>318</v>
      </c>
      <c r="D9" s="301" t="s">
        <v>493</v>
      </c>
      <c r="E9" s="322"/>
      <c r="F9" s="322"/>
      <c r="G9" s="321"/>
      <c r="H9" s="323" t="s">
        <v>64</v>
      </c>
      <c r="I9" s="279"/>
    </row>
    <row r="10">
      <c r="B10" s="299">
        <v>7.0</v>
      </c>
      <c r="C10" s="305" t="s">
        <v>371</v>
      </c>
      <c r="D10" s="301" t="s">
        <v>494</v>
      </c>
      <c r="E10" s="322"/>
      <c r="F10" s="322"/>
      <c r="G10" s="321"/>
      <c r="H10" s="302" t="s">
        <v>64</v>
      </c>
      <c r="I10" s="279"/>
    </row>
    <row r="11">
      <c r="B11" s="288"/>
      <c r="C11" s="289"/>
    </row>
    <row r="12">
      <c r="B12" s="288"/>
      <c r="C12" s="289"/>
    </row>
    <row r="13">
      <c r="B13" s="288"/>
      <c r="C13" s="289"/>
    </row>
    <row r="14">
      <c r="B14" s="288"/>
      <c r="C14" s="324"/>
      <c r="H14" s="325" t="s">
        <v>495</v>
      </c>
      <c r="I14" s="326"/>
      <c r="J14" s="327" t="s">
        <v>496</v>
      </c>
      <c r="K14" s="326"/>
      <c r="L14" s="328" t="s">
        <v>497</v>
      </c>
    </row>
    <row r="15">
      <c r="B15" s="329" t="s">
        <v>244</v>
      </c>
      <c r="C15" s="330" t="s">
        <v>498</v>
      </c>
      <c r="D15" s="331" t="s">
        <v>499</v>
      </c>
      <c r="E15" s="329" t="s">
        <v>500</v>
      </c>
      <c r="F15" s="329" t="s">
        <v>501</v>
      </c>
      <c r="G15" s="329" t="s">
        <v>502</v>
      </c>
      <c r="H15" s="332" t="s">
        <v>503</v>
      </c>
      <c r="I15" s="332" t="s">
        <v>504</v>
      </c>
      <c r="J15" s="332" t="s">
        <v>505</v>
      </c>
      <c r="K15" s="332" t="s">
        <v>504</v>
      </c>
      <c r="L15" s="333"/>
    </row>
    <row r="16">
      <c r="A16" s="34"/>
      <c r="B16" s="334">
        <v>1.0</v>
      </c>
      <c r="C16" s="335" t="s">
        <v>506</v>
      </c>
      <c r="D16" s="336" t="s">
        <v>507</v>
      </c>
      <c r="E16" s="337"/>
      <c r="F16" s="337" t="s">
        <v>508</v>
      </c>
      <c r="G16" s="337"/>
      <c r="H16" s="338"/>
      <c r="I16" s="338"/>
      <c r="J16" s="338"/>
      <c r="K16" s="338"/>
      <c r="L16" s="339" t="s">
        <v>509</v>
      </c>
      <c r="M16" s="34"/>
      <c r="N16" s="34"/>
      <c r="O16" s="34"/>
      <c r="P16" s="34"/>
      <c r="Q16" s="34"/>
      <c r="R16" s="34"/>
      <c r="S16" s="34"/>
      <c r="T16" s="34"/>
      <c r="U16" s="34"/>
      <c r="V16" s="34"/>
      <c r="W16" s="34"/>
      <c r="X16" s="34"/>
      <c r="Y16" s="34"/>
      <c r="Z16" s="34"/>
      <c r="AA16" s="34"/>
      <c r="AB16" s="34"/>
      <c r="AC16" s="34"/>
    </row>
    <row r="17">
      <c r="A17" s="34"/>
      <c r="B17" s="334">
        <f t="shared" ref="B17:B38" si="1">B16+1</f>
        <v>2</v>
      </c>
      <c r="C17" s="340"/>
      <c r="D17" s="341" t="s">
        <v>510</v>
      </c>
      <c r="E17" s="337" t="s">
        <v>511</v>
      </c>
      <c r="F17" s="338"/>
      <c r="G17" s="338"/>
      <c r="H17" s="338"/>
      <c r="I17" s="338"/>
      <c r="J17" s="338"/>
      <c r="K17" s="338"/>
      <c r="L17" s="339" t="s">
        <v>512</v>
      </c>
      <c r="M17" s="34"/>
      <c r="N17" s="34"/>
      <c r="O17" s="34"/>
      <c r="P17" s="34"/>
      <c r="Q17" s="34"/>
      <c r="R17" s="34"/>
      <c r="S17" s="34"/>
      <c r="T17" s="34"/>
      <c r="U17" s="34"/>
      <c r="V17" s="34"/>
      <c r="W17" s="34"/>
      <c r="X17" s="34"/>
      <c r="Y17" s="34"/>
      <c r="Z17" s="34"/>
      <c r="AA17" s="34"/>
      <c r="AB17" s="34"/>
      <c r="AC17" s="34"/>
    </row>
    <row r="18">
      <c r="A18" s="34"/>
      <c r="B18" s="334">
        <f t="shared" si="1"/>
        <v>3</v>
      </c>
      <c r="C18" s="342"/>
      <c r="D18" s="336" t="s">
        <v>513</v>
      </c>
      <c r="E18" s="337"/>
      <c r="F18" s="338"/>
      <c r="G18" s="338"/>
      <c r="H18" s="338"/>
      <c r="I18" s="338"/>
      <c r="J18" s="343" t="s">
        <v>514</v>
      </c>
      <c r="K18" s="343" t="s">
        <v>514</v>
      </c>
      <c r="L18" s="339" t="s">
        <v>515</v>
      </c>
      <c r="M18" s="34"/>
      <c r="N18" s="34"/>
      <c r="O18" s="34"/>
      <c r="P18" s="34"/>
      <c r="Q18" s="34"/>
      <c r="R18" s="34"/>
      <c r="S18" s="34"/>
      <c r="T18" s="34"/>
      <c r="U18" s="34"/>
      <c r="V18" s="34"/>
      <c r="W18" s="34"/>
      <c r="X18" s="34"/>
      <c r="Y18" s="34"/>
      <c r="Z18" s="34"/>
      <c r="AA18" s="34"/>
      <c r="AB18" s="34"/>
      <c r="AC18" s="34"/>
    </row>
    <row r="19">
      <c r="A19" s="34"/>
      <c r="B19" s="334">
        <f t="shared" si="1"/>
        <v>4</v>
      </c>
      <c r="C19" s="335" t="s">
        <v>516</v>
      </c>
      <c r="D19" s="341" t="s">
        <v>517</v>
      </c>
      <c r="E19" s="338"/>
      <c r="F19" s="338"/>
      <c r="G19" s="338"/>
      <c r="H19" s="338"/>
      <c r="I19" s="338"/>
      <c r="J19" s="338"/>
      <c r="K19" s="343" t="s">
        <v>514</v>
      </c>
      <c r="L19" s="338" t="s">
        <v>518</v>
      </c>
      <c r="M19" s="34"/>
      <c r="N19" s="34"/>
      <c r="O19" s="34"/>
      <c r="P19" s="34"/>
      <c r="Q19" s="34"/>
      <c r="R19" s="34"/>
      <c r="S19" s="34"/>
      <c r="T19" s="34"/>
      <c r="U19" s="34"/>
      <c r="V19" s="34"/>
      <c r="W19" s="34"/>
      <c r="X19" s="34"/>
      <c r="Y19" s="34"/>
      <c r="Z19" s="34"/>
      <c r="AA19" s="34"/>
      <c r="AB19" s="34"/>
      <c r="AC19" s="34"/>
    </row>
    <row r="20">
      <c r="A20" s="34"/>
      <c r="B20" s="334">
        <f t="shared" si="1"/>
        <v>5</v>
      </c>
      <c r="C20" s="340"/>
      <c r="D20" s="341" t="s">
        <v>519</v>
      </c>
      <c r="E20" s="338"/>
      <c r="F20" s="338"/>
      <c r="G20" s="338"/>
      <c r="H20" s="338"/>
      <c r="I20" s="338"/>
      <c r="J20" s="343" t="s">
        <v>514</v>
      </c>
      <c r="K20" s="343" t="s">
        <v>514</v>
      </c>
      <c r="L20" s="338" t="s">
        <v>518</v>
      </c>
      <c r="M20" s="34"/>
      <c r="N20" s="34"/>
      <c r="O20" s="34"/>
      <c r="P20" s="34"/>
      <c r="Q20" s="34"/>
      <c r="R20" s="34"/>
      <c r="S20" s="34"/>
      <c r="T20" s="34"/>
      <c r="U20" s="34"/>
      <c r="V20" s="34"/>
      <c r="W20" s="34"/>
      <c r="X20" s="34"/>
      <c r="Y20" s="34"/>
      <c r="Z20" s="34"/>
      <c r="AA20" s="34"/>
      <c r="AB20" s="34"/>
      <c r="AC20" s="34"/>
    </row>
    <row r="21">
      <c r="A21" s="34"/>
      <c r="B21" s="334">
        <f t="shared" si="1"/>
        <v>6</v>
      </c>
      <c r="C21" s="340"/>
      <c r="D21" s="341" t="s">
        <v>520</v>
      </c>
      <c r="E21" s="338"/>
      <c r="F21" s="338"/>
      <c r="G21" s="338"/>
      <c r="H21" s="338"/>
      <c r="I21" s="338"/>
      <c r="J21" s="343" t="s">
        <v>514</v>
      </c>
      <c r="K21" s="343" t="s">
        <v>514</v>
      </c>
      <c r="L21" s="338" t="s">
        <v>521</v>
      </c>
      <c r="M21" s="34"/>
      <c r="N21" s="34"/>
      <c r="O21" s="34"/>
      <c r="P21" s="34"/>
      <c r="Q21" s="34"/>
      <c r="R21" s="34"/>
      <c r="S21" s="34"/>
      <c r="T21" s="34"/>
      <c r="U21" s="34"/>
      <c r="V21" s="34"/>
      <c r="W21" s="34"/>
      <c r="X21" s="34"/>
      <c r="Y21" s="34"/>
      <c r="Z21" s="34"/>
      <c r="AA21" s="34"/>
      <c r="AB21" s="34"/>
      <c r="AC21" s="34"/>
    </row>
    <row r="22">
      <c r="A22" s="34"/>
      <c r="B22" s="334">
        <f t="shared" si="1"/>
        <v>7</v>
      </c>
      <c r="C22" s="340"/>
      <c r="D22" s="341" t="s">
        <v>522</v>
      </c>
      <c r="E22" s="338"/>
      <c r="F22" s="338"/>
      <c r="G22" s="338"/>
      <c r="H22" s="338"/>
      <c r="I22" s="338"/>
      <c r="J22" s="343" t="s">
        <v>514</v>
      </c>
      <c r="K22" s="343" t="s">
        <v>514</v>
      </c>
      <c r="L22" s="338" t="s">
        <v>521</v>
      </c>
      <c r="M22" s="34"/>
      <c r="N22" s="34"/>
      <c r="O22" s="34"/>
      <c r="P22" s="34"/>
      <c r="Q22" s="34"/>
      <c r="R22" s="34"/>
      <c r="S22" s="34"/>
      <c r="T22" s="34"/>
      <c r="U22" s="34"/>
      <c r="V22" s="34"/>
      <c r="W22" s="34"/>
      <c r="X22" s="34"/>
      <c r="Y22" s="34"/>
      <c r="Z22" s="34"/>
      <c r="AA22" s="34"/>
      <c r="AB22" s="34"/>
      <c r="AC22" s="34"/>
    </row>
    <row r="23">
      <c r="A23" s="34"/>
      <c r="B23" s="334">
        <f t="shared" si="1"/>
        <v>8</v>
      </c>
      <c r="C23" s="340"/>
      <c r="D23" s="336" t="s">
        <v>523</v>
      </c>
      <c r="E23" s="338"/>
      <c r="F23" s="338"/>
      <c r="G23" s="338"/>
      <c r="H23" s="338"/>
      <c r="I23" s="338"/>
      <c r="J23" s="338"/>
      <c r="K23" s="338"/>
      <c r="L23" s="338" t="s">
        <v>521</v>
      </c>
      <c r="M23" s="34"/>
      <c r="N23" s="34"/>
      <c r="O23" s="34"/>
      <c r="P23" s="34"/>
      <c r="Q23" s="34"/>
      <c r="R23" s="34"/>
      <c r="S23" s="34"/>
      <c r="T23" s="34"/>
      <c r="U23" s="34"/>
      <c r="V23" s="34"/>
      <c r="W23" s="34"/>
      <c r="X23" s="34"/>
      <c r="Y23" s="34"/>
      <c r="Z23" s="34"/>
      <c r="AA23" s="34"/>
      <c r="AB23" s="34"/>
      <c r="AC23" s="34"/>
    </row>
    <row r="24">
      <c r="A24" s="34"/>
      <c r="B24" s="334">
        <f t="shared" si="1"/>
        <v>9</v>
      </c>
      <c r="C24" s="342"/>
      <c r="D24" s="336" t="s">
        <v>524</v>
      </c>
      <c r="E24" s="343"/>
      <c r="F24" s="343"/>
      <c r="G24" s="343"/>
      <c r="H24" s="343" t="s">
        <v>514</v>
      </c>
      <c r="I24" s="343" t="s">
        <v>514</v>
      </c>
      <c r="J24" s="343" t="s">
        <v>514</v>
      </c>
      <c r="K24" s="343" t="s">
        <v>514</v>
      </c>
      <c r="L24" s="343" t="s">
        <v>514</v>
      </c>
      <c r="M24" s="34"/>
      <c r="N24" s="34"/>
      <c r="O24" s="34"/>
      <c r="P24" s="34"/>
      <c r="Q24" s="34"/>
      <c r="R24" s="34"/>
      <c r="S24" s="34"/>
      <c r="T24" s="34"/>
      <c r="U24" s="34"/>
      <c r="V24" s="34"/>
      <c r="W24" s="34"/>
      <c r="X24" s="34"/>
      <c r="Y24" s="34"/>
      <c r="Z24" s="34"/>
      <c r="AA24" s="34"/>
      <c r="AB24" s="34"/>
      <c r="AC24" s="34"/>
    </row>
    <row r="25">
      <c r="A25" s="34"/>
      <c r="B25" s="334">
        <f t="shared" si="1"/>
        <v>10</v>
      </c>
      <c r="C25" s="335" t="s">
        <v>525</v>
      </c>
      <c r="D25" s="336" t="s">
        <v>526</v>
      </c>
      <c r="E25" s="337" t="s">
        <v>527</v>
      </c>
      <c r="F25" s="337" t="s">
        <v>503</v>
      </c>
      <c r="G25" s="337"/>
      <c r="H25" s="338"/>
      <c r="I25" s="338"/>
      <c r="J25" s="338"/>
      <c r="K25" s="338"/>
      <c r="L25" s="338" t="s">
        <v>528</v>
      </c>
      <c r="M25" s="34"/>
      <c r="N25" s="34"/>
      <c r="O25" s="34"/>
      <c r="P25" s="34"/>
      <c r="Q25" s="34"/>
      <c r="R25" s="34"/>
      <c r="S25" s="34"/>
      <c r="T25" s="34"/>
      <c r="U25" s="34"/>
      <c r="V25" s="34"/>
      <c r="W25" s="34"/>
      <c r="X25" s="34"/>
      <c r="Y25" s="34"/>
      <c r="Z25" s="34"/>
      <c r="AA25" s="34"/>
      <c r="AB25" s="34"/>
      <c r="AC25" s="34"/>
    </row>
    <row r="26">
      <c r="A26" s="34"/>
      <c r="B26" s="334">
        <f t="shared" si="1"/>
        <v>11</v>
      </c>
      <c r="C26" s="340"/>
      <c r="D26" s="341" t="s">
        <v>529</v>
      </c>
      <c r="E26" s="337" t="s">
        <v>527</v>
      </c>
      <c r="F26" s="338"/>
      <c r="G26" s="338"/>
      <c r="H26" s="338"/>
      <c r="I26" s="338"/>
      <c r="J26" s="338"/>
      <c r="K26" s="338"/>
      <c r="L26" s="338" t="s">
        <v>518</v>
      </c>
      <c r="M26" s="34"/>
      <c r="N26" s="34"/>
      <c r="O26" s="34"/>
      <c r="P26" s="34"/>
      <c r="Q26" s="34"/>
      <c r="R26" s="34"/>
      <c r="S26" s="34"/>
      <c r="T26" s="34"/>
      <c r="U26" s="34"/>
      <c r="V26" s="34"/>
      <c r="W26" s="34"/>
      <c r="X26" s="34"/>
      <c r="Y26" s="34"/>
      <c r="Z26" s="34"/>
      <c r="AA26" s="34"/>
      <c r="AB26" s="34"/>
      <c r="AC26" s="34"/>
    </row>
    <row r="27">
      <c r="A27" s="34"/>
      <c r="B27" s="334">
        <f t="shared" si="1"/>
        <v>12</v>
      </c>
      <c r="C27" s="340"/>
      <c r="D27" s="341" t="s">
        <v>530</v>
      </c>
      <c r="E27" s="337" t="s">
        <v>527</v>
      </c>
      <c r="F27" s="338"/>
      <c r="G27" s="338"/>
      <c r="H27" s="338"/>
      <c r="I27" s="338"/>
      <c r="J27" s="338"/>
      <c r="K27" s="338"/>
      <c r="L27" s="338" t="s">
        <v>518</v>
      </c>
      <c r="M27" s="34"/>
      <c r="N27" s="34"/>
      <c r="O27" s="34"/>
      <c r="P27" s="34"/>
      <c r="Q27" s="34"/>
      <c r="R27" s="34"/>
      <c r="S27" s="34"/>
      <c r="T27" s="34"/>
      <c r="U27" s="34"/>
      <c r="V27" s="34"/>
      <c r="W27" s="34"/>
      <c r="X27" s="34"/>
      <c r="Y27" s="34"/>
      <c r="Z27" s="34"/>
      <c r="AA27" s="34"/>
      <c r="AB27" s="34"/>
      <c r="AC27" s="34"/>
    </row>
    <row r="28">
      <c r="A28" s="34"/>
      <c r="B28" s="334">
        <f t="shared" si="1"/>
        <v>13</v>
      </c>
      <c r="C28" s="342"/>
      <c r="D28" s="336" t="s">
        <v>523</v>
      </c>
      <c r="E28" s="337" t="s">
        <v>527</v>
      </c>
      <c r="F28" s="338"/>
      <c r="G28" s="338"/>
      <c r="H28" s="338"/>
      <c r="I28" s="338"/>
      <c r="J28" s="338"/>
      <c r="K28" s="338"/>
      <c r="L28" s="338"/>
      <c r="M28" s="34"/>
      <c r="N28" s="34"/>
      <c r="O28" s="34"/>
      <c r="P28" s="34"/>
      <c r="Q28" s="34"/>
      <c r="R28" s="34"/>
      <c r="S28" s="34"/>
      <c r="T28" s="34"/>
      <c r="U28" s="34"/>
      <c r="V28" s="34"/>
      <c r="W28" s="34"/>
      <c r="X28" s="34"/>
      <c r="Y28" s="34"/>
      <c r="Z28" s="34"/>
      <c r="AA28" s="34"/>
      <c r="AB28" s="34"/>
      <c r="AC28" s="34"/>
    </row>
    <row r="29">
      <c r="A29" s="34"/>
      <c r="B29" s="334">
        <f t="shared" si="1"/>
        <v>14</v>
      </c>
      <c r="C29" s="335" t="s">
        <v>531</v>
      </c>
      <c r="D29" s="341" t="s">
        <v>532</v>
      </c>
      <c r="E29" s="337" t="s">
        <v>527</v>
      </c>
      <c r="F29" s="343"/>
      <c r="G29" s="343"/>
      <c r="H29" s="343" t="s">
        <v>514</v>
      </c>
      <c r="I29" s="343" t="s">
        <v>514</v>
      </c>
      <c r="J29" s="338"/>
      <c r="K29" s="338"/>
      <c r="L29" s="338" t="s">
        <v>533</v>
      </c>
      <c r="M29" s="34"/>
      <c r="N29" s="34"/>
      <c r="O29" s="34"/>
      <c r="P29" s="34"/>
      <c r="Q29" s="34"/>
      <c r="R29" s="34"/>
      <c r="S29" s="34"/>
      <c r="T29" s="34"/>
      <c r="U29" s="34"/>
      <c r="V29" s="34"/>
      <c r="W29" s="34"/>
      <c r="X29" s="34"/>
      <c r="Y29" s="34"/>
      <c r="Z29" s="34"/>
      <c r="AA29" s="34"/>
      <c r="AB29" s="34"/>
      <c r="AC29" s="34"/>
    </row>
    <row r="30">
      <c r="A30" s="34"/>
      <c r="B30" s="334">
        <f t="shared" si="1"/>
        <v>15</v>
      </c>
      <c r="C30" s="340"/>
      <c r="D30" s="341" t="s">
        <v>534</v>
      </c>
      <c r="E30" s="343"/>
      <c r="F30" s="343"/>
      <c r="G30" s="343"/>
      <c r="H30" s="343" t="s">
        <v>514</v>
      </c>
      <c r="I30" s="343" t="s">
        <v>514</v>
      </c>
      <c r="J30" s="338"/>
      <c r="K30" s="338"/>
      <c r="L30" s="338" t="s">
        <v>535</v>
      </c>
      <c r="M30" s="34"/>
      <c r="N30" s="34"/>
      <c r="O30" s="34"/>
      <c r="P30" s="34"/>
      <c r="Q30" s="34"/>
      <c r="R30" s="34"/>
      <c r="S30" s="34"/>
      <c r="T30" s="34"/>
      <c r="U30" s="34"/>
      <c r="V30" s="34"/>
      <c r="W30" s="34"/>
      <c r="X30" s="34"/>
      <c r="Y30" s="34"/>
      <c r="Z30" s="34"/>
      <c r="AA30" s="34"/>
      <c r="AB30" s="34"/>
      <c r="AC30" s="34"/>
    </row>
    <row r="31">
      <c r="A31" s="34"/>
      <c r="B31" s="334">
        <f t="shared" si="1"/>
        <v>16</v>
      </c>
      <c r="C31" s="340"/>
      <c r="D31" s="341" t="s">
        <v>536</v>
      </c>
      <c r="E31" s="343"/>
      <c r="F31" s="343"/>
      <c r="G31" s="343"/>
      <c r="H31" s="343" t="s">
        <v>514</v>
      </c>
      <c r="I31" s="343" t="s">
        <v>514</v>
      </c>
      <c r="J31" s="338"/>
      <c r="K31" s="338"/>
      <c r="L31" s="338" t="s">
        <v>537</v>
      </c>
      <c r="M31" s="34"/>
      <c r="N31" s="34"/>
      <c r="O31" s="34"/>
      <c r="P31" s="34"/>
      <c r="Q31" s="34"/>
      <c r="R31" s="34"/>
      <c r="S31" s="34"/>
      <c r="T31" s="34"/>
      <c r="U31" s="34"/>
      <c r="V31" s="34"/>
      <c r="W31" s="34"/>
      <c r="X31" s="34"/>
      <c r="Y31" s="34"/>
      <c r="Z31" s="34"/>
      <c r="AA31" s="34"/>
      <c r="AB31" s="34"/>
      <c r="AC31" s="34"/>
    </row>
    <row r="32">
      <c r="A32" s="34"/>
      <c r="B32" s="334">
        <f t="shared" si="1"/>
        <v>17</v>
      </c>
      <c r="C32" s="340"/>
      <c r="D32" s="341" t="s">
        <v>538</v>
      </c>
      <c r="E32" s="343"/>
      <c r="F32" s="343"/>
      <c r="G32" s="343"/>
      <c r="H32" s="343" t="s">
        <v>514</v>
      </c>
      <c r="I32" s="343" t="s">
        <v>514</v>
      </c>
      <c r="J32" s="338"/>
      <c r="K32" s="338"/>
      <c r="L32" s="338" t="s">
        <v>518</v>
      </c>
      <c r="M32" s="34"/>
      <c r="N32" s="34"/>
      <c r="O32" s="34"/>
      <c r="P32" s="34"/>
      <c r="Q32" s="34"/>
      <c r="R32" s="34"/>
      <c r="S32" s="34"/>
      <c r="T32" s="34"/>
      <c r="U32" s="34"/>
      <c r="V32" s="34"/>
      <c r="W32" s="34"/>
      <c r="X32" s="34"/>
      <c r="Y32" s="34"/>
      <c r="Z32" s="34"/>
      <c r="AA32" s="34"/>
      <c r="AB32" s="34"/>
      <c r="AC32" s="34"/>
    </row>
    <row r="33">
      <c r="A33" s="34"/>
      <c r="B33" s="334">
        <f t="shared" si="1"/>
        <v>18</v>
      </c>
      <c r="C33" s="340"/>
      <c r="D33" s="341" t="s">
        <v>539</v>
      </c>
      <c r="E33" s="343"/>
      <c r="F33" s="343"/>
      <c r="G33" s="343"/>
      <c r="H33" s="343" t="s">
        <v>514</v>
      </c>
      <c r="I33" s="343" t="s">
        <v>514</v>
      </c>
      <c r="J33" s="338"/>
      <c r="K33" s="338"/>
      <c r="L33" s="338" t="s">
        <v>540</v>
      </c>
      <c r="M33" s="34"/>
      <c r="N33" s="34"/>
      <c r="O33" s="34"/>
      <c r="P33" s="34"/>
      <c r="Q33" s="34"/>
      <c r="R33" s="34"/>
      <c r="S33" s="34"/>
      <c r="T33" s="34"/>
      <c r="U33" s="34"/>
      <c r="V33" s="34"/>
      <c r="W33" s="34"/>
      <c r="X33" s="34"/>
      <c r="Y33" s="34"/>
      <c r="Z33" s="34"/>
      <c r="AA33" s="34"/>
      <c r="AB33" s="34"/>
      <c r="AC33" s="34"/>
    </row>
    <row r="34">
      <c r="A34" s="34"/>
      <c r="B34" s="334">
        <f t="shared" si="1"/>
        <v>19</v>
      </c>
      <c r="C34" s="340"/>
      <c r="D34" s="341" t="s">
        <v>541</v>
      </c>
      <c r="E34" s="343"/>
      <c r="F34" s="343"/>
      <c r="G34" s="343"/>
      <c r="H34" s="343" t="s">
        <v>514</v>
      </c>
      <c r="I34" s="343" t="s">
        <v>514</v>
      </c>
      <c r="J34" s="338"/>
      <c r="K34" s="338"/>
      <c r="L34" s="344" t="s">
        <v>542</v>
      </c>
      <c r="M34" s="34"/>
      <c r="N34" s="34"/>
      <c r="O34" s="34"/>
      <c r="P34" s="34"/>
      <c r="Q34" s="34"/>
      <c r="R34" s="34"/>
      <c r="S34" s="34"/>
      <c r="T34" s="34"/>
      <c r="U34" s="34"/>
      <c r="V34" s="34"/>
      <c r="W34" s="34"/>
      <c r="X34" s="34"/>
      <c r="Y34" s="34"/>
      <c r="Z34" s="34"/>
      <c r="AA34" s="34"/>
      <c r="AB34" s="34"/>
      <c r="AC34" s="34"/>
    </row>
    <row r="35">
      <c r="A35" s="34"/>
      <c r="B35" s="334">
        <f t="shared" si="1"/>
        <v>20</v>
      </c>
      <c r="C35" s="340"/>
      <c r="D35" s="341" t="s">
        <v>543</v>
      </c>
      <c r="E35" s="343"/>
      <c r="F35" s="343"/>
      <c r="G35" s="343"/>
      <c r="H35" s="343" t="s">
        <v>514</v>
      </c>
      <c r="I35" s="343" t="s">
        <v>514</v>
      </c>
      <c r="J35" s="338"/>
      <c r="K35" s="338"/>
      <c r="L35" s="338" t="s">
        <v>537</v>
      </c>
      <c r="M35" s="34"/>
      <c r="N35" s="34"/>
      <c r="O35" s="34"/>
      <c r="P35" s="34"/>
      <c r="Q35" s="34"/>
      <c r="R35" s="34"/>
      <c r="S35" s="34"/>
      <c r="T35" s="34"/>
      <c r="U35" s="34"/>
      <c r="V35" s="34"/>
      <c r="W35" s="34"/>
      <c r="X35" s="34"/>
      <c r="Y35" s="34"/>
      <c r="Z35" s="34"/>
      <c r="AA35" s="34"/>
      <c r="AB35" s="34"/>
      <c r="AC35" s="34"/>
    </row>
    <row r="36">
      <c r="A36" s="34"/>
      <c r="B36" s="334">
        <f t="shared" si="1"/>
        <v>21</v>
      </c>
      <c r="C36" s="340"/>
      <c r="D36" s="341" t="s">
        <v>544</v>
      </c>
      <c r="E36" s="345" t="s">
        <v>545</v>
      </c>
      <c r="F36" s="343"/>
      <c r="G36" s="343"/>
      <c r="H36" s="343" t="s">
        <v>514</v>
      </c>
      <c r="I36" s="343" t="s">
        <v>514</v>
      </c>
      <c r="J36" s="338"/>
      <c r="K36" s="338"/>
      <c r="L36" s="338" t="s">
        <v>521</v>
      </c>
      <c r="M36" s="34"/>
      <c r="N36" s="34"/>
      <c r="O36" s="34"/>
      <c r="P36" s="34"/>
      <c r="Q36" s="34"/>
      <c r="R36" s="34"/>
      <c r="S36" s="34"/>
      <c r="T36" s="34"/>
      <c r="U36" s="34"/>
      <c r="V36" s="34"/>
      <c r="W36" s="34"/>
      <c r="X36" s="34"/>
      <c r="Y36" s="34"/>
      <c r="Z36" s="34"/>
      <c r="AA36" s="34"/>
      <c r="AB36" s="34"/>
      <c r="AC36" s="34"/>
    </row>
    <row r="37">
      <c r="A37" s="34"/>
      <c r="B37" s="334">
        <f t="shared" si="1"/>
        <v>22</v>
      </c>
      <c r="C37" s="340"/>
      <c r="D37" s="341" t="s">
        <v>546</v>
      </c>
      <c r="E37" s="345"/>
      <c r="F37" s="343"/>
      <c r="G37" s="343"/>
      <c r="H37" s="343" t="s">
        <v>514</v>
      </c>
      <c r="I37" s="343" t="s">
        <v>514</v>
      </c>
      <c r="J37" s="338"/>
      <c r="K37" s="338"/>
      <c r="L37" s="338" t="s">
        <v>518</v>
      </c>
      <c r="M37" s="34"/>
      <c r="N37" s="34"/>
      <c r="O37" s="34"/>
      <c r="P37" s="34"/>
      <c r="Q37" s="34"/>
      <c r="R37" s="34"/>
      <c r="S37" s="34"/>
      <c r="T37" s="34"/>
      <c r="U37" s="34"/>
      <c r="V37" s="34"/>
      <c r="W37" s="34"/>
      <c r="X37" s="34"/>
      <c r="Y37" s="34"/>
      <c r="Z37" s="34"/>
      <c r="AA37" s="34"/>
      <c r="AB37" s="34"/>
      <c r="AC37" s="34"/>
    </row>
    <row r="38">
      <c r="A38" s="34"/>
      <c r="B38" s="334">
        <f t="shared" si="1"/>
        <v>23</v>
      </c>
      <c r="C38" s="342"/>
      <c r="D38" s="336" t="s">
        <v>523</v>
      </c>
      <c r="E38" s="337" t="s">
        <v>42</v>
      </c>
      <c r="F38" s="338"/>
      <c r="G38" s="338"/>
      <c r="H38" s="346"/>
      <c r="I38" s="346"/>
      <c r="J38" s="347"/>
      <c r="K38" s="347"/>
      <c r="L38" s="347"/>
      <c r="M38" s="34"/>
      <c r="N38" s="34"/>
      <c r="O38" s="34"/>
      <c r="P38" s="34"/>
      <c r="Q38" s="34"/>
      <c r="R38" s="34"/>
      <c r="S38" s="34"/>
      <c r="T38" s="34"/>
      <c r="U38" s="34"/>
      <c r="V38" s="34"/>
      <c r="W38" s="34"/>
      <c r="X38" s="34"/>
      <c r="Y38" s="34"/>
      <c r="Z38" s="34"/>
      <c r="AA38" s="34"/>
      <c r="AB38" s="34"/>
      <c r="AC38" s="34"/>
    </row>
    <row r="39">
      <c r="A39" s="34"/>
      <c r="B39" s="348"/>
      <c r="C39" s="349"/>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547</v>
      </c>
      <c r="C40" s="349"/>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350" t="s">
        <v>548</v>
      </c>
      <c r="C41" s="350" t="s">
        <v>354</v>
      </c>
      <c r="D41" s="350" t="s">
        <v>499</v>
      </c>
      <c r="E41" s="350"/>
      <c r="F41" s="350"/>
      <c r="G41" s="350" t="s">
        <v>549</v>
      </c>
      <c r="H41" s="350" t="s">
        <v>247</v>
      </c>
      <c r="I41" s="96"/>
      <c r="J41" s="34"/>
      <c r="K41" s="34"/>
      <c r="L41" s="34"/>
      <c r="M41" s="34"/>
      <c r="N41" s="34"/>
      <c r="O41" s="34"/>
      <c r="P41" s="34"/>
      <c r="Q41" s="34"/>
      <c r="R41" s="34"/>
      <c r="S41" s="34"/>
      <c r="T41" s="34"/>
      <c r="U41" s="34"/>
      <c r="V41" s="34"/>
      <c r="W41" s="34"/>
      <c r="X41" s="34"/>
      <c r="Y41" s="34"/>
      <c r="Z41" s="34"/>
      <c r="AA41" s="34"/>
      <c r="AB41" s="34"/>
      <c r="AC41" s="34"/>
    </row>
    <row r="42">
      <c r="A42" s="34"/>
      <c r="B42" s="238" t="s">
        <v>550</v>
      </c>
      <c r="C42" s="351" t="s">
        <v>491</v>
      </c>
      <c r="D42" s="351" t="s">
        <v>551</v>
      </c>
      <c r="E42" s="351"/>
      <c r="F42" s="351"/>
      <c r="G42" s="351" t="s">
        <v>552</v>
      </c>
      <c r="H42" s="351" t="s">
        <v>553</v>
      </c>
      <c r="I42" s="96"/>
      <c r="J42" s="34"/>
      <c r="K42" s="34"/>
      <c r="L42" s="34"/>
      <c r="M42" s="34"/>
      <c r="N42" s="34"/>
      <c r="O42" s="34"/>
      <c r="P42" s="34"/>
      <c r="Q42" s="34"/>
      <c r="R42" s="34"/>
      <c r="S42" s="34"/>
      <c r="T42" s="34"/>
      <c r="U42" s="34"/>
      <c r="V42" s="34"/>
      <c r="W42" s="34"/>
      <c r="X42" s="34"/>
      <c r="Y42" s="34"/>
      <c r="Z42" s="34"/>
      <c r="AA42" s="34"/>
      <c r="AB42" s="34"/>
      <c r="AC42" s="34"/>
    </row>
    <row r="43">
      <c r="A43" s="34"/>
      <c r="B43" s="340"/>
      <c r="C43" s="351" t="s">
        <v>554</v>
      </c>
      <c r="D43" s="351" t="s">
        <v>555</v>
      </c>
      <c r="E43" s="351"/>
      <c r="F43" s="351"/>
      <c r="G43" s="351" t="s">
        <v>556</v>
      </c>
      <c r="H43" s="351" t="s">
        <v>557</v>
      </c>
      <c r="I43" s="96"/>
      <c r="J43" s="34"/>
      <c r="K43" s="34"/>
      <c r="L43" s="34"/>
      <c r="M43" s="34"/>
      <c r="N43" s="34"/>
      <c r="O43" s="34"/>
      <c r="P43" s="34"/>
      <c r="Q43" s="34"/>
      <c r="R43" s="34"/>
      <c r="S43" s="34"/>
      <c r="T43" s="34"/>
      <c r="U43" s="34"/>
      <c r="V43" s="34"/>
      <c r="W43" s="34"/>
      <c r="X43" s="34"/>
      <c r="Y43" s="34"/>
      <c r="Z43" s="34"/>
      <c r="AA43" s="34"/>
      <c r="AB43" s="34"/>
      <c r="AC43" s="34"/>
    </row>
    <row r="44">
      <c r="A44" s="34"/>
      <c r="B44" s="340"/>
      <c r="C44" s="351" t="s">
        <v>558</v>
      </c>
      <c r="D44" s="351" t="s">
        <v>559</v>
      </c>
      <c r="E44" s="351"/>
      <c r="F44" s="351"/>
      <c r="G44" s="351" t="s">
        <v>560</v>
      </c>
      <c r="H44" s="351" t="s">
        <v>561</v>
      </c>
      <c r="I44" s="96"/>
      <c r="J44" s="34"/>
      <c r="K44" s="34"/>
      <c r="L44" s="34"/>
      <c r="M44" s="34"/>
      <c r="N44" s="34"/>
      <c r="O44" s="34"/>
      <c r="P44" s="34"/>
      <c r="Q44" s="34"/>
      <c r="R44" s="34"/>
      <c r="S44" s="34"/>
      <c r="T44" s="34"/>
      <c r="U44" s="34"/>
      <c r="V44" s="34"/>
      <c r="W44" s="34"/>
      <c r="X44" s="34"/>
      <c r="Y44" s="34"/>
      <c r="Z44" s="34"/>
      <c r="AA44" s="34"/>
      <c r="AB44" s="34"/>
      <c r="AC44" s="34"/>
    </row>
    <row r="45">
      <c r="A45" s="34"/>
      <c r="B45" s="342"/>
      <c r="C45" s="351" t="s">
        <v>562</v>
      </c>
      <c r="D45" s="351" t="s">
        <v>563</v>
      </c>
      <c r="E45" s="351"/>
      <c r="F45" s="351"/>
      <c r="G45" s="351" t="s">
        <v>564</v>
      </c>
      <c r="H45" s="351" t="s">
        <v>565</v>
      </c>
      <c r="I45" s="96"/>
      <c r="J45" s="34"/>
      <c r="K45" s="34"/>
      <c r="L45" s="34"/>
      <c r="M45" s="34"/>
      <c r="N45" s="34"/>
      <c r="O45" s="34"/>
      <c r="P45" s="34"/>
      <c r="Q45" s="34"/>
      <c r="R45" s="34"/>
      <c r="S45" s="34"/>
      <c r="T45" s="34"/>
      <c r="U45" s="34"/>
      <c r="V45" s="34"/>
      <c r="W45" s="34"/>
      <c r="X45" s="34"/>
      <c r="Y45" s="34"/>
      <c r="Z45" s="34"/>
      <c r="AA45" s="34"/>
      <c r="AB45" s="34"/>
      <c r="AC45" s="34"/>
    </row>
    <row r="46">
      <c r="A46" s="34"/>
      <c r="B46" s="238" t="s">
        <v>566</v>
      </c>
      <c r="C46" s="351" t="s">
        <v>567</v>
      </c>
      <c r="D46" s="351" t="s">
        <v>568</v>
      </c>
      <c r="E46" s="351"/>
      <c r="F46" s="351"/>
      <c r="G46" s="351" t="s">
        <v>569</v>
      </c>
      <c r="H46" s="352"/>
      <c r="I46" s="34"/>
      <c r="J46" s="34"/>
      <c r="K46" s="34"/>
      <c r="L46" s="34"/>
      <c r="M46" s="34"/>
      <c r="N46" s="34"/>
      <c r="O46" s="34"/>
      <c r="P46" s="34"/>
      <c r="Q46" s="34"/>
      <c r="R46" s="34"/>
      <c r="S46" s="34"/>
      <c r="T46" s="34"/>
      <c r="U46" s="34"/>
      <c r="V46" s="34"/>
      <c r="W46" s="34"/>
      <c r="X46" s="34"/>
      <c r="Y46" s="34"/>
      <c r="Z46" s="34"/>
      <c r="AA46" s="34"/>
      <c r="AB46" s="34"/>
      <c r="AC46" s="34"/>
    </row>
    <row r="47">
      <c r="A47" s="34"/>
      <c r="B47" s="340"/>
      <c r="C47" s="351" t="s">
        <v>570</v>
      </c>
      <c r="D47" s="351" t="s">
        <v>571</v>
      </c>
      <c r="E47" s="351"/>
      <c r="F47" s="351"/>
      <c r="G47" s="351" t="s">
        <v>572</v>
      </c>
      <c r="H47" s="351" t="s">
        <v>573</v>
      </c>
      <c r="I47" s="96"/>
      <c r="J47" s="34"/>
      <c r="K47" s="34"/>
      <c r="L47" s="34"/>
      <c r="M47" s="34"/>
      <c r="N47" s="34"/>
      <c r="O47" s="34"/>
      <c r="P47" s="34"/>
      <c r="Q47" s="34"/>
      <c r="R47" s="34"/>
      <c r="S47" s="34"/>
      <c r="T47" s="34"/>
      <c r="U47" s="34"/>
      <c r="V47" s="34"/>
      <c r="W47" s="34"/>
      <c r="X47" s="34"/>
      <c r="Y47" s="34"/>
      <c r="Z47" s="34"/>
      <c r="AA47" s="34"/>
      <c r="AB47" s="34"/>
      <c r="AC47" s="34"/>
    </row>
    <row r="48">
      <c r="A48" s="34"/>
      <c r="B48" s="342"/>
      <c r="C48" s="351" t="s">
        <v>574</v>
      </c>
      <c r="D48" s="351" t="s">
        <v>575</v>
      </c>
      <c r="E48" s="351"/>
      <c r="F48" s="351"/>
      <c r="G48" s="351" t="s">
        <v>576</v>
      </c>
      <c r="H48" s="351" t="s">
        <v>577</v>
      </c>
      <c r="I48" s="96"/>
      <c r="J48" s="34"/>
      <c r="K48" s="34"/>
      <c r="L48" s="34"/>
      <c r="M48" s="34"/>
      <c r="N48" s="34"/>
      <c r="O48" s="34"/>
      <c r="P48" s="34"/>
      <c r="Q48" s="34"/>
      <c r="R48" s="34"/>
      <c r="S48" s="34"/>
      <c r="T48" s="34"/>
      <c r="U48" s="34"/>
      <c r="V48" s="34"/>
      <c r="W48" s="34"/>
      <c r="X48" s="34"/>
      <c r="Y48" s="34"/>
      <c r="Z48" s="34"/>
      <c r="AA48" s="34"/>
      <c r="AB48" s="34"/>
      <c r="AC48" s="34"/>
    </row>
    <row r="49">
      <c r="A49" s="34"/>
      <c r="B49" s="348"/>
      <c r="C49" s="349"/>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348"/>
      <c r="C50" s="349"/>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88"/>
      <c r="C51" s="289"/>
    </row>
    <row r="52">
      <c r="B52" s="288"/>
    </row>
    <row r="61">
      <c r="B61" s="288"/>
      <c r="C61" s="289"/>
    </row>
    <row r="62">
      <c r="B62" s="288"/>
      <c r="C62" s="289"/>
    </row>
    <row r="63">
      <c r="B63" s="288"/>
      <c r="C63" s="289"/>
    </row>
    <row r="64">
      <c r="B64" s="288"/>
      <c r="C64" s="289"/>
    </row>
    <row r="65">
      <c r="B65" s="288"/>
      <c r="C65" s="289"/>
    </row>
    <row r="66">
      <c r="B66" s="288"/>
      <c r="C66" s="289"/>
    </row>
    <row r="67">
      <c r="B67" s="288"/>
      <c r="C67" s="289"/>
    </row>
    <row r="68">
      <c r="B68" s="288"/>
      <c r="C68" s="289"/>
    </row>
    <row r="69">
      <c r="B69" s="288"/>
      <c r="C69" s="289"/>
    </row>
    <row r="70">
      <c r="B70" s="288"/>
      <c r="C70" s="289"/>
    </row>
    <row r="71">
      <c r="B71" s="288"/>
      <c r="C71" s="289"/>
    </row>
    <row r="72">
      <c r="B72" s="288"/>
      <c r="C72" s="289"/>
    </row>
    <row r="73">
      <c r="B73" s="288"/>
      <c r="C73" s="289"/>
    </row>
    <row r="74">
      <c r="B74" s="288"/>
      <c r="C74" s="289"/>
    </row>
    <row r="75">
      <c r="B75" s="288"/>
      <c r="C75" s="289"/>
    </row>
    <row r="76">
      <c r="B76" s="288"/>
      <c r="C76" s="289"/>
    </row>
    <row r="77">
      <c r="B77" s="288"/>
      <c r="C77" s="289"/>
    </row>
    <row r="78">
      <c r="B78" s="288"/>
      <c r="C78" s="289"/>
    </row>
    <row r="79">
      <c r="B79" s="288"/>
      <c r="C79" s="289"/>
    </row>
    <row r="80">
      <c r="B80" s="288"/>
      <c r="C80" s="289"/>
    </row>
    <row r="81">
      <c r="B81" s="288"/>
      <c r="C81" s="289"/>
    </row>
    <row r="82">
      <c r="B82" s="288"/>
      <c r="C82" s="289"/>
    </row>
    <row r="83">
      <c r="B83" s="288"/>
      <c r="C83" s="289"/>
    </row>
    <row r="84">
      <c r="B84" s="288"/>
      <c r="C84" s="289"/>
    </row>
    <row r="85">
      <c r="B85" s="288"/>
      <c r="C85" s="289"/>
    </row>
    <row r="86">
      <c r="B86" s="288"/>
      <c r="C86" s="289"/>
    </row>
    <row r="87">
      <c r="B87" s="288"/>
      <c r="C87" s="289"/>
    </row>
    <row r="88">
      <c r="B88" s="288"/>
      <c r="C88" s="289"/>
    </row>
    <row r="89">
      <c r="B89" s="288"/>
      <c r="C89" s="289"/>
    </row>
    <row r="90">
      <c r="B90" s="288"/>
      <c r="C90" s="289"/>
    </row>
    <row r="91">
      <c r="B91" s="288"/>
      <c r="C91" s="289"/>
    </row>
    <row r="92">
      <c r="B92" s="288"/>
      <c r="C92" s="289"/>
    </row>
    <row r="93">
      <c r="B93" s="288"/>
      <c r="C93" s="289"/>
    </row>
    <row r="94">
      <c r="B94" s="288"/>
      <c r="C94" s="289"/>
    </row>
    <row r="95">
      <c r="B95" s="288"/>
      <c r="C95" s="289"/>
    </row>
    <row r="96">
      <c r="B96" s="288"/>
      <c r="C96" s="289"/>
    </row>
    <row r="97">
      <c r="B97" s="288"/>
      <c r="C97" s="289"/>
    </row>
    <row r="98">
      <c r="B98" s="288"/>
      <c r="C98" s="289"/>
    </row>
    <row r="99">
      <c r="B99" s="288"/>
      <c r="C99" s="289"/>
    </row>
    <row r="100">
      <c r="B100" s="288"/>
      <c r="C100" s="289"/>
    </row>
    <row r="101">
      <c r="B101" s="288"/>
      <c r="C101" s="289"/>
    </row>
    <row r="102">
      <c r="B102" s="288"/>
      <c r="C102" s="289"/>
    </row>
    <row r="103">
      <c r="B103" s="288"/>
      <c r="C103" s="289"/>
    </row>
    <row r="104">
      <c r="B104" s="288"/>
      <c r="C104" s="289"/>
    </row>
    <row r="105">
      <c r="B105" s="288"/>
      <c r="C105" s="289"/>
    </row>
    <row r="106">
      <c r="B106" s="288"/>
      <c r="C106" s="289"/>
    </row>
    <row r="107">
      <c r="B107" s="288"/>
      <c r="C107" s="289"/>
    </row>
    <row r="108">
      <c r="B108" s="288"/>
      <c r="C108" s="289"/>
    </row>
    <row r="109">
      <c r="B109" s="288"/>
      <c r="C109" s="289"/>
    </row>
    <row r="110">
      <c r="B110" s="288"/>
      <c r="C110" s="289"/>
    </row>
    <row r="111">
      <c r="B111" s="288"/>
      <c r="C111" s="289"/>
    </row>
    <row r="112">
      <c r="B112" s="288"/>
      <c r="C112" s="289"/>
    </row>
    <row r="113">
      <c r="B113" s="288"/>
      <c r="C113" s="289"/>
    </row>
    <row r="114">
      <c r="B114" s="288"/>
      <c r="C114" s="289"/>
    </row>
    <row r="115">
      <c r="B115" s="288"/>
      <c r="C115" s="289"/>
    </row>
    <row r="116">
      <c r="B116" s="288"/>
      <c r="C116" s="289"/>
    </row>
    <row r="117">
      <c r="B117" s="288"/>
      <c r="C117" s="289"/>
    </row>
    <row r="118">
      <c r="B118" s="288"/>
      <c r="C118" s="289"/>
    </row>
    <row r="119">
      <c r="B119" s="288"/>
      <c r="C119" s="289"/>
    </row>
    <row r="120">
      <c r="B120" s="288"/>
      <c r="C120" s="289"/>
    </row>
    <row r="121">
      <c r="B121" s="288"/>
      <c r="C121" s="289"/>
    </row>
    <row r="122">
      <c r="B122" s="288"/>
      <c r="C122" s="289"/>
    </row>
    <row r="123">
      <c r="B123" s="288"/>
      <c r="C123" s="289"/>
    </row>
    <row r="124">
      <c r="B124" s="288"/>
      <c r="C124" s="289"/>
    </row>
    <row r="125">
      <c r="B125" s="288"/>
      <c r="C125" s="289"/>
    </row>
    <row r="126">
      <c r="B126" s="288"/>
      <c r="C126" s="289"/>
    </row>
    <row r="127">
      <c r="B127" s="288"/>
      <c r="C127" s="289"/>
    </row>
    <row r="128">
      <c r="B128" s="288"/>
      <c r="C128" s="289"/>
    </row>
    <row r="129">
      <c r="B129" s="288"/>
      <c r="C129" s="289"/>
    </row>
    <row r="130">
      <c r="B130" s="288"/>
      <c r="C130" s="289"/>
    </row>
    <row r="131">
      <c r="B131" s="288"/>
      <c r="C131" s="289"/>
    </row>
    <row r="132">
      <c r="B132" s="288"/>
      <c r="C132" s="289"/>
    </row>
    <row r="133">
      <c r="B133" s="288"/>
      <c r="C133" s="289"/>
    </row>
    <row r="134">
      <c r="B134" s="288"/>
      <c r="C134" s="289"/>
    </row>
    <row r="135">
      <c r="B135" s="288"/>
      <c r="C135" s="289"/>
    </row>
    <row r="136">
      <c r="B136" s="288"/>
      <c r="C136" s="289"/>
    </row>
    <row r="137">
      <c r="B137" s="288"/>
      <c r="C137" s="289"/>
    </row>
    <row r="138">
      <c r="B138" s="288"/>
      <c r="C138" s="289"/>
    </row>
    <row r="139">
      <c r="B139" s="288"/>
      <c r="C139" s="289"/>
    </row>
    <row r="140">
      <c r="B140" s="288"/>
      <c r="C140" s="289"/>
    </row>
    <row r="141">
      <c r="B141" s="288"/>
      <c r="C141" s="289"/>
    </row>
    <row r="142">
      <c r="B142" s="288"/>
      <c r="C142" s="289"/>
    </row>
    <row r="143">
      <c r="B143" s="288"/>
      <c r="C143" s="289"/>
    </row>
    <row r="144">
      <c r="B144" s="288"/>
      <c r="C144" s="289"/>
    </row>
    <row r="145">
      <c r="B145" s="288"/>
      <c r="C145" s="289"/>
    </row>
    <row r="146">
      <c r="B146" s="288"/>
      <c r="C146" s="289"/>
    </row>
    <row r="147">
      <c r="B147" s="288"/>
      <c r="C147" s="289"/>
    </row>
    <row r="148">
      <c r="B148" s="288"/>
      <c r="C148" s="289"/>
    </row>
    <row r="149">
      <c r="B149" s="288"/>
      <c r="C149" s="289"/>
    </row>
    <row r="150">
      <c r="B150" s="288"/>
      <c r="C150" s="289"/>
    </row>
    <row r="151">
      <c r="B151" s="288"/>
      <c r="C151" s="289"/>
    </row>
    <row r="152">
      <c r="B152" s="288"/>
      <c r="C152" s="289"/>
    </row>
    <row r="153">
      <c r="B153" s="288"/>
      <c r="C153" s="289"/>
    </row>
    <row r="154">
      <c r="B154" s="288"/>
      <c r="C154" s="289"/>
    </row>
    <row r="155">
      <c r="B155" s="288"/>
      <c r="C155" s="289"/>
    </row>
    <row r="156">
      <c r="B156" s="288"/>
      <c r="C156" s="289"/>
    </row>
    <row r="157">
      <c r="B157" s="288"/>
      <c r="C157" s="289"/>
    </row>
    <row r="158">
      <c r="B158" s="288"/>
      <c r="C158" s="289"/>
    </row>
    <row r="159">
      <c r="B159" s="288"/>
      <c r="C159" s="289"/>
    </row>
    <row r="160">
      <c r="B160" s="288"/>
      <c r="C160" s="289"/>
    </row>
    <row r="161">
      <c r="B161" s="288"/>
      <c r="C161" s="289"/>
    </row>
    <row r="162">
      <c r="B162" s="288"/>
      <c r="C162" s="289"/>
    </row>
    <row r="163">
      <c r="B163" s="288"/>
      <c r="C163" s="289"/>
    </row>
    <row r="164">
      <c r="B164" s="288"/>
      <c r="C164" s="289"/>
    </row>
    <row r="165">
      <c r="B165" s="288"/>
      <c r="C165" s="289"/>
    </row>
    <row r="166">
      <c r="B166" s="288"/>
      <c r="C166" s="289"/>
    </row>
    <row r="167">
      <c r="B167" s="288"/>
      <c r="C167" s="289"/>
    </row>
    <row r="168">
      <c r="B168" s="288"/>
      <c r="C168" s="289"/>
    </row>
    <row r="169">
      <c r="B169" s="288"/>
      <c r="C169" s="289"/>
    </row>
    <row r="170">
      <c r="B170" s="288"/>
      <c r="C170" s="289"/>
    </row>
    <row r="171">
      <c r="B171" s="288"/>
      <c r="C171" s="289"/>
    </row>
    <row r="172">
      <c r="B172" s="288"/>
      <c r="C172" s="289"/>
    </row>
    <row r="173">
      <c r="B173" s="288"/>
      <c r="C173" s="289"/>
    </row>
    <row r="174">
      <c r="B174" s="288"/>
      <c r="C174" s="289"/>
    </row>
    <row r="175">
      <c r="B175" s="288"/>
      <c r="C175" s="289"/>
    </row>
    <row r="176">
      <c r="B176" s="288"/>
      <c r="C176" s="289"/>
    </row>
    <row r="177">
      <c r="B177" s="288"/>
      <c r="C177" s="289"/>
    </row>
    <row r="178">
      <c r="B178" s="288"/>
      <c r="C178" s="289"/>
    </row>
    <row r="179">
      <c r="B179" s="288"/>
      <c r="C179" s="289"/>
    </row>
    <row r="180">
      <c r="B180" s="288"/>
      <c r="C180" s="289"/>
    </row>
    <row r="181">
      <c r="B181" s="288"/>
      <c r="C181" s="289"/>
    </row>
    <row r="182">
      <c r="B182" s="288"/>
      <c r="C182" s="289"/>
    </row>
    <row r="183">
      <c r="B183" s="288"/>
      <c r="C183" s="289"/>
    </row>
    <row r="184">
      <c r="B184" s="288"/>
      <c r="C184" s="289"/>
    </row>
    <row r="185">
      <c r="B185" s="288"/>
      <c r="C185" s="289"/>
    </row>
    <row r="186">
      <c r="B186" s="288"/>
      <c r="C186" s="289"/>
    </row>
    <row r="187">
      <c r="B187" s="288"/>
      <c r="C187" s="289"/>
    </row>
    <row r="188">
      <c r="B188" s="288"/>
      <c r="C188" s="289"/>
    </row>
    <row r="189">
      <c r="B189" s="288"/>
      <c r="C189" s="289"/>
    </row>
    <row r="190">
      <c r="B190" s="288"/>
      <c r="C190" s="289"/>
    </row>
    <row r="191">
      <c r="B191" s="288"/>
      <c r="C191" s="289"/>
    </row>
    <row r="192">
      <c r="B192" s="288"/>
      <c r="C192" s="289"/>
    </row>
    <row r="193">
      <c r="B193" s="288"/>
      <c r="C193" s="289"/>
    </row>
    <row r="194">
      <c r="B194" s="288"/>
      <c r="C194" s="289"/>
    </row>
    <row r="195">
      <c r="B195" s="288"/>
      <c r="C195" s="289"/>
    </row>
    <row r="196">
      <c r="B196" s="288"/>
      <c r="C196" s="289"/>
    </row>
    <row r="197">
      <c r="B197" s="288"/>
      <c r="C197" s="289"/>
    </row>
    <row r="198">
      <c r="B198" s="288"/>
      <c r="C198" s="289"/>
    </row>
    <row r="199">
      <c r="B199" s="288"/>
      <c r="C199" s="289"/>
    </row>
    <row r="200">
      <c r="B200" s="288"/>
      <c r="C200" s="289"/>
    </row>
    <row r="201">
      <c r="B201" s="288"/>
      <c r="C201" s="289"/>
    </row>
    <row r="202">
      <c r="B202" s="288"/>
      <c r="C202" s="289"/>
    </row>
    <row r="203">
      <c r="B203" s="288"/>
      <c r="C203" s="289"/>
    </row>
    <row r="204">
      <c r="B204" s="288"/>
      <c r="C204" s="289"/>
    </row>
    <row r="205">
      <c r="B205" s="288"/>
      <c r="C205" s="289"/>
    </row>
    <row r="206">
      <c r="B206" s="288"/>
      <c r="C206" s="289"/>
    </row>
    <row r="207">
      <c r="B207" s="288"/>
      <c r="C207" s="289"/>
    </row>
    <row r="208">
      <c r="B208" s="288"/>
      <c r="C208" s="289"/>
    </row>
    <row r="209">
      <c r="B209" s="288"/>
      <c r="C209" s="289"/>
    </row>
    <row r="210">
      <c r="B210" s="288"/>
      <c r="C210" s="289"/>
    </row>
    <row r="211">
      <c r="B211" s="288"/>
      <c r="C211" s="289"/>
    </row>
    <row r="212">
      <c r="B212" s="288"/>
      <c r="C212" s="289"/>
    </row>
    <row r="213">
      <c r="B213" s="288"/>
      <c r="C213" s="289"/>
    </row>
    <row r="214">
      <c r="B214" s="288"/>
      <c r="C214" s="289"/>
    </row>
    <row r="215">
      <c r="B215" s="288"/>
      <c r="C215" s="289"/>
    </row>
    <row r="216">
      <c r="B216" s="288"/>
      <c r="C216" s="289"/>
    </row>
    <row r="217">
      <c r="B217" s="288"/>
      <c r="C217" s="289"/>
    </row>
    <row r="218">
      <c r="B218" s="288"/>
      <c r="C218" s="289"/>
    </row>
    <row r="219">
      <c r="B219" s="288"/>
      <c r="C219" s="289"/>
    </row>
    <row r="220">
      <c r="B220" s="288"/>
      <c r="C220" s="289"/>
    </row>
    <row r="221">
      <c r="B221" s="288"/>
      <c r="C221" s="289"/>
    </row>
    <row r="222">
      <c r="B222" s="288"/>
      <c r="C222" s="289"/>
    </row>
    <row r="223">
      <c r="B223" s="288"/>
      <c r="C223" s="289"/>
    </row>
    <row r="224">
      <c r="B224" s="288"/>
      <c r="C224" s="289"/>
    </row>
    <row r="225">
      <c r="B225" s="288"/>
      <c r="C225" s="289"/>
    </row>
    <row r="226">
      <c r="B226" s="288"/>
      <c r="C226" s="289"/>
    </row>
    <row r="227">
      <c r="B227" s="288"/>
      <c r="C227" s="289"/>
    </row>
    <row r="228">
      <c r="B228" s="288"/>
      <c r="C228" s="289"/>
    </row>
    <row r="229">
      <c r="B229" s="288"/>
      <c r="C229" s="289"/>
    </row>
    <row r="230">
      <c r="B230" s="288"/>
      <c r="C230" s="289"/>
    </row>
    <row r="231">
      <c r="B231" s="288"/>
      <c r="C231" s="289"/>
    </row>
    <row r="232">
      <c r="B232" s="288"/>
      <c r="C232" s="289"/>
    </row>
    <row r="233">
      <c r="B233" s="288"/>
      <c r="C233" s="289"/>
    </row>
    <row r="234">
      <c r="B234" s="288"/>
      <c r="C234" s="289"/>
    </row>
    <row r="235">
      <c r="B235" s="288"/>
      <c r="C235" s="289"/>
    </row>
    <row r="236">
      <c r="B236" s="288"/>
      <c r="C236" s="289"/>
    </row>
    <row r="237">
      <c r="B237" s="288"/>
      <c r="C237" s="289"/>
    </row>
    <row r="238">
      <c r="B238" s="288"/>
      <c r="C238" s="289"/>
    </row>
    <row r="239">
      <c r="B239" s="288"/>
      <c r="C239" s="289"/>
    </row>
    <row r="240">
      <c r="B240" s="288"/>
      <c r="C240" s="289"/>
    </row>
    <row r="241">
      <c r="B241" s="288"/>
      <c r="C241" s="289"/>
    </row>
    <row r="242">
      <c r="B242" s="288"/>
      <c r="C242" s="289"/>
    </row>
    <row r="243">
      <c r="B243" s="288"/>
      <c r="C243" s="289"/>
    </row>
    <row r="244">
      <c r="B244" s="288"/>
      <c r="C244" s="289"/>
    </row>
    <row r="245">
      <c r="B245" s="288"/>
      <c r="C245" s="289"/>
    </row>
    <row r="246">
      <c r="B246" s="288"/>
      <c r="C246" s="289"/>
    </row>
    <row r="247">
      <c r="B247" s="288"/>
      <c r="C247" s="289"/>
    </row>
    <row r="248">
      <c r="B248" s="288"/>
      <c r="C248" s="289"/>
    </row>
    <row r="249">
      <c r="B249" s="288"/>
      <c r="C249" s="289"/>
    </row>
    <row r="250">
      <c r="B250" s="288"/>
      <c r="C250" s="289"/>
    </row>
    <row r="251">
      <c r="B251" s="288"/>
      <c r="C251" s="289"/>
    </row>
    <row r="252">
      <c r="B252" s="288"/>
      <c r="C252" s="289"/>
    </row>
    <row r="253">
      <c r="B253" s="288"/>
      <c r="C253" s="289"/>
    </row>
    <row r="254">
      <c r="B254" s="288"/>
      <c r="C254" s="289"/>
    </row>
    <row r="255">
      <c r="B255" s="288"/>
      <c r="C255" s="289"/>
    </row>
    <row r="256">
      <c r="B256" s="288"/>
      <c r="C256" s="289"/>
    </row>
    <row r="257">
      <c r="B257" s="288"/>
      <c r="C257" s="289"/>
    </row>
    <row r="258">
      <c r="B258" s="288"/>
      <c r="C258" s="289"/>
    </row>
    <row r="259">
      <c r="B259" s="288"/>
      <c r="C259" s="289"/>
    </row>
    <row r="260">
      <c r="B260" s="288"/>
      <c r="C260" s="289"/>
    </row>
    <row r="261">
      <c r="B261" s="288"/>
      <c r="C261" s="289"/>
    </row>
    <row r="262">
      <c r="B262" s="288"/>
      <c r="C262" s="289"/>
    </row>
    <row r="263">
      <c r="B263" s="288"/>
      <c r="C263" s="289"/>
    </row>
    <row r="264">
      <c r="B264" s="288"/>
      <c r="C264" s="289"/>
    </row>
    <row r="265">
      <c r="B265" s="288"/>
      <c r="C265" s="289"/>
    </row>
    <row r="266">
      <c r="B266" s="288"/>
      <c r="C266" s="289"/>
    </row>
    <row r="267">
      <c r="B267" s="288"/>
      <c r="C267" s="289"/>
    </row>
    <row r="268">
      <c r="B268" s="288"/>
      <c r="C268" s="289"/>
    </row>
    <row r="269">
      <c r="B269" s="288"/>
      <c r="C269" s="289"/>
    </row>
    <row r="270">
      <c r="B270" s="288"/>
      <c r="C270" s="289"/>
    </row>
    <row r="271">
      <c r="B271" s="288"/>
      <c r="C271" s="289"/>
    </row>
    <row r="272">
      <c r="B272" s="288"/>
      <c r="C272" s="289"/>
    </row>
    <row r="273">
      <c r="B273" s="288"/>
      <c r="C273" s="289"/>
    </row>
    <row r="274">
      <c r="B274" s="288"/>
      <c r="C274" s="289"/>
    </row>
    <row r="275">
      <c r="B275" s="288"/>
      <c r="C275" s="289"/>
    </row>
    <row r="276">
      <c r="B276" s="288"/>
      <c r="C276" s="289"/>
    </row>
    <row r="277">
      <c r="B277" s="288"/>
      <c r="C277" s="289"/>
    </row>
    <row r="278">
      <c r="B278" s="288"/>
      <c r="C278" s="289"/>
    </row>
    <row r="279">
      <c r="B279" s="288"/>
      <c r="C279" s="289"/>
    </row>
    <row r="280">
      <c r="B280" s="288"/>
      <c r="C280" s="289"/>
    </row>
    <row r="281">
      <c r="B281" s="288"/>
      <c r="C281" s="289"/>
    </row>
    <row r="282">
      <c r="B282" s="288"/>
      <c r="C282" s="289"/>
    </row>
    <row r="283">
      <c r="B283" s="288"/>
      <c r="C283" s="289"/>
    </row>
    <row r="284">
      <c r="B284" s="288"/>
      <c r="C284" s="289"/>
    </row>
    <row r="285">
      <c r="B285" s="288"/>
      <c r="C285" s="289"/>
    </row>
    <row r="286">
      <c r="B286" s="288"/>
      <c r="C286" s="289"/>
    </row>
    <row r="287">
      <c r="B287" s="288"/>
      <c r="C287" s="289"/>
    </row>
    <row r="288">
      <c r="B288" s="288"/>
      <c r="C288" s="289"/>
    </row>
    <row r="289">
      <c r="B289" s="288"/>
      <c r="C289" s="289"/>
    </row>
    <row r="290">
      <c r="B290" s="288"/>
      <c r="C290" s="289"/>
    </row>
    <row r="291">
      <c r="B291" s="288"/>
      <c r="C291" s="289"/>
    </row>
    <row r="292">
      <c r="B292" s="288"/>
      <c r="C292" s="289"/>
    </row>
    <row r="293">
      <c r="B293" s="288"/>
      <c r="C293" s="289"/>
    </row>
    <row r="294">
      <c r="B294" s="288"/>
      <c r="C294" s="289"/>
    </row>
    <row r="295">
      <c r="B295" s="288"/>
      <c r="C295" s="289"/>
    </row>
    <row r="296">
      <c r="B296" s="288"/>
      <c r="C296" s="289"/>
    </row>
    <row r="297">
      <c r="B297" s="288"/>
      <c r="C297" s="289"/>
    </row>
    <row r="298">
      <c r="B298" s="288"/>
      <c r="C298" s="289"/>
    </row>
    <row r="299">
      <c r="B299" s="288"/>
      <c r="C299" s="289"/>
    </row>
    <row r="300">
      <c r="B300" s="288"/>
      <c r="C300" s="289"/>
    </row>
    <row r="301">
      <c r="B301" s="288"/>
      <c r="C301" s="289"/>
    </row>
    <row r="302">
      <c r="B302" s="288"/>
      <c r="C302" s="289"/>
    </row>
    <row r="303">
      <c r="B303" s="288"/>
      <c r="C303" s="289"/>
    </row>
    <row r="304">
      <c r="B304" s="288"/>
      <c r="C304" s="289"/>
    </row>
    <row r="305">
      <c r="B305" s="288"/>
      <c r="C305" s="289"/>
    </row>
    <row r="306">
      <c r="B306" s="288"/>
      <c r="C306" s="289"/>
    </row>
    <row r="307">
      <c r="B307" s="288"/>
      <c r="C307" s="289"/>
    </row>
    <row r="308">
      <c r="B308" s="288"/>
      <c r="C308" s="289"/>
    </row>
    <row r="309">
      <c r="B309" s="288"/>
      <c r="C309" s="289"/>
    </row>
    <row r="310">
      <c r="B310" s="288"/>
      <c r="C310" s="289"/>
    </row>
    <row r="311">
      <c r="B311" s="288"/>
      <c r="C311" s="289"/>
    </row>
    <row r="312">
      <c r="B312" s="288"/>
      <c r="C312" s="289"/>
    </row>
    <row r="313">
      <c r="B313" s="288"/>
      <c r="C313" s="289"/>
    </row>
    <row r="314">
      <c r="B314" s="288"/>
      <c r="C314" s="289"/>
    </row>
    <row r="315">
      <c r="B315" s="288"/>
      <c r="C315" s="289"/>
    </row>
    <row r="316">
      <c r="B316" s="288"/>
      <c r="C316" s="289"/>
    </row>
    <row r="317">
      <c r="B317" s="288"/>
      <c r="C317" s="289"/>
    </row>
    <row r="318">
      <c r="B318" s="288"/>
      <c r="C318" s="289"/>
    </row>
    <row r="319">
      <c r="B319" s="288"/>
      <c r="C319" s="289"/>
    </row>
    <row r="320">
      <c r="B320" s="288"/>
      <c r="C320" s="289"/>
    </row>
    <row r="321">
      <c r="B321" s="288"/>
      <c r="C321" s="289"/>
    </row>
    <row r="322">
      <c r="B322" s="288"/>
      <c r="C322" s="289"/>
    </row>
    <row r="323">
      <c r="B323" s="288"/>
      <c r="C323" s="289"/>
    </row>
    <row r="324">
      <c r="B324" s="288"/>
      <c r="C324" s="289"/>
    </row>
    <row r="325">
      <c r="B325" s="288"/>
      <c r="C325" s="289"/>
    </row>
    <row r="326">
      <c r="B326" s="288"/>
      <c r="C326" s="289"/>
    </row>
    <row r="327">
      <c r="B327" s="288"/>
      <c r="C327" s="289"/>
    </row>
    <row r="328">
      <c r="B328" s="288"/>
      <c r="C328" s="289"/>
    </row>
    <row r="329">
      <c r="B329" s="288"/>
      <c r="C329" s="289"/>
    </row>
    <row r="330">
      <c r="B330" s="288"/>
      <c r="C330" s="289"/>
    </row>
    <row r="331">
      <c r="B331" s="288"/>
      <c r="C331" s="289"/>
    </row>
    <row r="332">
      <c r="B332" s="288"/>
      <c r="C332" s="289"/>
    </row>
    <row r="333">
      <c r="B333" s="288"/>
      <c r="C333" s="289"/>
    </row>
    <row r="334">
      <c r="B334" s="288"/>
      <c r="C334" s="289"/>
    </row>
    <row r="335">
      <c r="B335" s="288"/>
      <c r="C335" s="289"/>
    </row>
    <row r="336">
      <c r="B336" s="288"/>
      <c r="C336" s="289"/>
    </row>
    <row r="337">
      <c r="B337" s="288"/>
      <c r="C337" s="289"/>
    </row>
    <row r="338">
      <c r="B338" s="288"/>
      <c r="C338" s="289"/>
    </row>
    <row r="339">
      <c r="B339" s="288"/>
      <c r="C339" s="289"/>
    </row>
    <row r="340">
      <c r="B340" s="288"/>
      <c r="C340" s="289"/>
    </row>
    <row r="341">
      <c r="B341" s="288"/>
      <c r="C341" s="289"/>
    </row>
    <row r="342">
      <c r="B342" s="288"/>
      <c r="C342" s="289"/>
    </row>
    <row r="343">
      <c r="B343" s="288"/>
      <c r="C343" s="289"/>
    </row>
    <row r="344">
      <c r="B344" s="288"/>
      <c r="C344" s="289"/>
    </row>
    <row r="345">
      <c r="B345" s="288"/>
      <c r="C345" s="289"/>
    </row>
    <row r="346">
      <c r="B346" s="288"/>
      <c r="C346" s="289"/>
    </row>
    <row r="347">
      <c r="B347" s="288"/>
      <c r="C347" s="289"/>
    </row>
    <row r="348">
      <c r="B348" s="288"/>
      <c r="C348" s="289"/>
    </row>
    <row r="349">
      <c r="B349" s="288"/>
      <c r="C349" s="289"/>
    </row>
    <row r="350">
      <c r="B350" s="288"/>
      <c r="C350" s="289"/>
    </row>
    <row r="351">
      <c r="B351" s="288"/>
      <c r="C351" s="289"/>
    </row>
    <row r="352">
      <c r="B352" s="288"/>
      <c r="C352" s="289"/>
    </row>
    <row r="353">
      <c r="B353" s="288"/>
      <c r="C353" s="289"/>
    </row>
    <row r="354">
      <c r="B354" s="288"/>
      <c r="C354" s="289"/>
    </row>
    <row r="355">
      <c r="B355" s="288"/>
      <c r="C355" s="289"/>
    </row>
    <row r="356">
      <c r="B356" s="288"/>
      <c r="C356" s="289"/>
    </row>
    <row r="357">
      <c r="B357" s="288"/>
      <c r="C357" s="289"/>
    </row>
    <row r="358">
      <c r="B358" s="288"/>
      <c r="C358" s="289"/>
    </row>
    <row r="359">
      <c r="B359" s="288"/>
      <c r="C359" s="289"/>
    </row>
    <row r="360">
      <c r="B360" s="288"/>
      <c r="C360" s="289"/>
    </row>
    <row r="361">
      <c r="B361" s="288"/>
      <c r="C361" s="289"/>
    </row>
    <row r="362">
      <c r="B362" s="288"/>
      <c r="C362" s="289"/>
    </row>
    <row r="363">
      <c r="B363" s="288"/>
      <c r="C363" s="289"/>
    </row>
    <row r="364">
      <c r="B364" s="288"/>
      <c r="C364" s="289"/>
    </row>
    <row r="365">
      <c r="B365" s="288"/>
      <c r="C365" s="289"/>
    </row>
    <row r="366">
      <c r="B366" s="288"/>
      <c r="C366" s="289"/>
    </row>
    <row r="367">
      <c r="B367" s="288"/>
      <c r="C367" s="289"/>
    </row>
    <row r="368">
      <c r="B368" s="288"/>
      <c r="C368" s="289"/>
    </row>
    <row r="369">
      <c r="B369" s="288"/>
      <c r="C369" s="289"/>
    </row>
    <row r="370">
      <c r="B370" s="288"/>
      <c r="C370" s="289"/>
    </row>
    <row r="371">
      <c r="B371" s="288"/>
      <c r="C371" s="289"/>
    </row>
    <row r="372">
      <c r="B372" s="288"/>
      <c r="C372" s="289"/>
    </row>
    <row r="373">
      <c r="B373" s="288"/>
      <c r="C373" s="289"/>
    </row>
    <row r="374">
      <c r="B374" s="288"/>
      <c r="C374" s="289"/>
    </row>
    <row r="375">
      <c r="B375" s="288"/>
      <c r="C375" s="289"/>
    </row>
    <row r="376">
      <c r="B376" s="288"/>
      <c r="C376" s="289"/>
    </row>
    <row r="377">
      <c r="B377" s="288"/>
      <c r="C377" s="289"/>
    </row>
    <row r="378">
      <c r="B378" s="288"/>
      <c r="C378" s="289"/>
    </row>
    <row r="379">
      <c r="B379" s="288"/>
      <c r="C379" s="289"/>
    </row>
    <row r="380">
      <c r="B380" s="288"/>
      <c r="C380" s="289"/>
    </row>
    <row r="381">
      <c r="B381" s="288"/>
      <c r="C381" s="289"/>
    </row>
    <row r="382">
      <c r="B382" s="288"/>
      <c r="C382" s="289"/>
    </row>
    <row r="383">
      <c r="B383" s="288"/>
      <c r="C383" s="289"/>
    </row>
    <row r="384">
      <c r="B384" s="288"/>
      <c r="C384" s="289"/>
    </row>
    <row r="385">
      <c r="B385" s="288"/>
      <c r="C385" s="289"/>
    </row>
    <row r="386">
      <c r="B386" s="288"/>
      <c r="C386" s="289"/>
    </row>
    <row r="387">
      <c r="B387" s="288"/>
      <c r="C387" s="289"/>
    </row>
    <row r="388">
      <c r="B388" s="288"/>
      <c r="C388" s="289"/>
    </row>
    <row r="389">
      <c r="B389" s="288"/>
      <c r="C389" s="289"/>
    </row>
    <row r="390">
      <c r="B390" s="288"/>
      <c r="C390" s="289"/>
    </row>
    <row r="391">
      <c r="B391" s="288"/>
      <c r="C391" s="289"/>
    </row>
    <row r="392">
      <c r="B392" s="288"/>
      <c r="C392" s="289"/>
    </row>
    <row r="393">
      <c r="B393" s="288"/>
      <c r="C393" s="289"/>
    </row>
    <row r="394">
      <c r="B394" s="288"/>
      <c r="C394" s="289"/>
    </row>
    <row r="395">
      <c r="B395" s="288"/>
      <c r="C395" s="289"/>
    </row>
    <row r="396">
      <c r="B396" s="288"/>
      <c r="C396" s="289"/>
    </row>
    <row r="397">
      <c r="B397" s="288"/>
      <c r="C397" s="289"/>
    </row>
    <row r="398">
      <c r="B398" s="288"/>
      <c r="C398" s="289"/>
    </row>
    <row r="399">
      <c r="B399" s="288"/>
      <c r="C399" s="289"/>
    </row>
    <row r="400">
      <c r="B400" s="288"/>
      <c r="C400" s="289"/>
    </row>
    <row r="401">
      <c r="B401" s="288"/>
      <c r="C401" s="289"/>
    </row>
    <row r="402">
      <c r="B402" s="288"/>
      <c r="C402" s="289"/>
    </row>
    <row r="403">
      <c r="B403" s="288"/>
      <c r="C403" s="289"/>
    </row>
    <row r="404">
      <c r="B404" s="288"/>
      <c r="C404" s="289"/>
    </row>
    <row r="405">
      <c r="B405" s="288"/>
      <c r="C405" s="289"/>
    </row>
    <row r="406">
      <c r="B406" s="288"/>
      <c r="C406" s="289"/>
    </row>
    <row r="407">
      <c r="B407" s="288"/>
      <c r="C407" s="289"/>
    </row>
    <row r="408">
      <c r="B408" s="288"/>
      <c r="C408" s="289"/>
    </row>
    <row r="409">
      <c r="B409" s="288"/>
      <c r="C409" s="289"/>
    </row>
    <row r="410">
      <c r="B410" s="288"/>
      <c r="C410" s="289"/>
    </row>
    <row r="411">
      <c r="B411" s="288"/>
      <c r="C411" s="289"/>
    </row>
    <row r="412">
      <c r="B412" s="288"/>
      <c r="C412" s="289"/>
    </row>
    <row r="413">
      <c r="B413" s="288"/>
      <c r="C413" s="289"/>
    </row>
    <row r="414">
      <c r="B414" s="288"/>
      <c r="C414" s="289"/>
    </row>
    <row r="415">
      <c r="B415" s="288"/>
      <c r="C415" s="289"/>
    </row>
    <row r="416">
      <c r="B416" s="288"/>
      <c r="C416" s="289"/>
    </row>
    <row r="417">
      <c r="B417" s="288"/>
      <c r="C417" s="289"/>
    </row>
    <row r="418">
      <c r="B418" s="288"/>
      <c r="C418" s="289"/>
    </row>
    <row r="419">
      <c r="B419" s="288"/>
      <c r="C419" s="289"/>
    </row>
    <row r="420">
      <c r="B420" s="288"/>
      <c r="C420" s="289"/>
    </row>
    <row r="421">
      <c r="B421" s="288"/>
      <c r="C421" s="289"/>
    </row>
    <row r="422">
      <c r="B422" s="288"/>
      <c r="C422" s="289"/>
    </row>
    <row r="423">
      <c r="B423" s="288"/>
      <c r="C423" s="289"/>
    </row>
    <row r="424">
      <c r="B424" s="288"/>
      <c r="C424" s="289"/>
    </row>
    <row r="425">
      <c r="B425" s="288"/>
      <c r="C425" s="289"/>
    </row>
    <row r="426">
      <c r="B426" s="288"/>
      <c r="C426" s="289"/>
    </row>
    <row r="427">
      <c r="B427" s="288"/>
      <c r="C427" s="289"/>
    </row>
    <row r="428">
      <c r="B428" s="288"/>
      <c r="C428" s="289"/>
    </row>
    <row r="429">
      <c r="B429" s="288"/>
      <c r="C429" s="289"/>
    </row>
    <row r="430">
      <c r="B430" s="288"/>
      <c r="C430" s="289"/>
    </row>
    <row r="431">
      <c r="B431" s="288"/>
      <c r="C431" s="289"/>
    </row>
    <row r="432">
      <c r="B432" s="288"/>
      <c r="C432" s="289"/>
    </row>
    <row r="433">
      <c r="B433" s="288"/>
      <c r="C433" s="289"/>
    </row>
    <row r="434">
      <c r="B434" s="288"/>
      <c r="C434" s="289"/>
    </row>
    <row r="435">
      <c r="B435" s="288"/>
      <c r="C435" s="289"/>
    </row>
    <row r="436">
      <c r="B436" s="288"/>
      <c r="C436" s="289"/>
    </row>
    <row r="437">
      <c r="B437" s="288"/>
      <c r="C437" s="289"/>
    </row>
    <row r="438">
      <c r="B438" s="288"/>
      <c r="C438" s="289"/>
    </row>
    <row r="439">
      <c r="B439" s="288"/>
      <c r="C439" s="289"/>
    </row>
    <row r="440">
      <c r="B440" s="288"/>
      <c r="C440" s="289"/>
    </row>
    <row r="441">
      <c r="B441" s="288"/>
      <c r="C441" s="289"/>
    </row>
    <row r="442">
      <c r="B442" s="288"/>
      <c r="C442" s="289"/>
    </row>
    <row r="443">
      <c r="B443" s="288"/>
      <c r="C443" s="289"/>
    </row>
    <row r="444">
      <c r="B444" s="288"/>
      <c r="C444" s="289"/>
    </row>
    <row r="445">
      <c r="B445" s="288"/>
      <c r="C445" s="289"/>
    </row>
    <row r="446">
      <c r="B446" s="288"/>
      <c r="C446" s="289"/>
    </row>
    <row r="447">
      <c r="B447" s="288"/>
      <c r="C447" s="289"/>
    </row>
    <row r="448">
      <c r="B448" s="288"/>
      <c r="C448" s="289"/>
    </row>
    <row r="449">
      <c r="B449" s="288"/>
      <c r="C449" s="289"/>
    </row>
    <row r="450">
      <c r="B450" s="288"/>
      <c r="C450" s="289"/>
    </row>
    <row r="451">
      <c r="B451" s="288"/>
      <c r="C451" s="289"/>
    </row>
    <row r="452">
      <c r="B452" s="288"/>
      <c r="C452" s="289"/>
    </row>
    <row r="453">
      <c r="B453" s="288"/>
      <c r="C453" s="289"/>
    </row>
    <row r="454">
      <c r="B454" s="288"/>
      <c r="C454" s="289"/>
    </row>
    <row r="455">
      <c r="B455" s="288"/>
      <c r="C455" s="289"/>
    </row>
    <row r="456">
      <c r="B456" s="288"/>
      <c r="C456" s="289"/>
    </row>
    <row r="457">
      <c r="B457" s="288"/>
      <c r="C457" s="289"/>
    </row>
    <row r="458">
      <c r="B458" s="288"/>
      <c r="C458" s="289"/>
    </row>
    <row r="459">
      <c r="B459" s="288"/>
      <c r="C459" s="289"/>
    </row>
    <row r="460">
      <c r="B460" s="288"/>
      <c r="C460" s="289"/>
    </row>
    <row r="461">
      <c r="B461" s="288"/>
      <c r="C461" s="289"/>
    </row>
    <row r="462">
      <c r="B462" s="288"/>
      <c r="C462" s="289"/>
    </row>
    <row r="463">
      <c r="B463" s="288"/>
      <c r="C463" s="289"/>
    </row>
    <row r="464">
      <c r="B464" s="288"/>
      <c r="C464" s="289"/>
    </row>
    <row r="465">
      <c r="B465" s="288"/>
      <c r="C465" s="289"/>
    </row>
    <row r="466">
      <c r="B466" s="288"/>
      <c r="C466" s="289"/>
    </row>
    <row r="467">
      <c r="B467" s="288"/>
      <c r="C467" s="289"/>
    </row>
    <row r="468">
      <c r="B468" s="288"/>
      <c r="C468" s="289"/>
    </row>
    <row r="469">
      <c r="B469" s="288"/>
      <c r="C469" s="289"/>
    </row>
    <row r="470">
      <c r="B470" s="288"/>
      <c r="C470" s="289"/>
    </row>
    <row r="471">
      <c r="B471" s="288"/>
      <c r="C471" s="289"/>
    </row>
    <row r="472">
      <c r="B472" s="288"/>
      <c r="C472" s="289"/>
    </row>
    <row r="473">
      <c r="B473" s="288"/>
      <c r="C473" s="289"/>
    </row>
    <row r="474">
      <c r="B474" s="288"/>
      <c r="C474" s="289"/>
    </row>
    <row r="475">
      <c r="B475" s="288"/>
      <c r="C475" s="289"/>
    </row>
    <row r="476">
      <c r="B476" s="288"/>
      <c r="C476" s="289"/>
    </row>
    <row r="477">
      <c r="B477" s="288"/>
      <c r="C477" s="289"/>
    </row>
    <row r="478">
      <c r="B478" s="288"/>
      <c r="C478" s="289"/>
    </row>
    <row r="479">
      <c r="B479" s="288"/>
      <c r="C479" s="289"/>
    </row>
    <row r="480">
      <c r="B480" s="288"/>
      <c r="C480" s="289"/>
    </row>
    <row r="481">
      <c r="B481" s="288"/>
      <c r="C481" s="289"/>
    </row>
    <row r="482">
      <c r="B482" s="288"/>
      <c r="C482" s="289"/>
    </row>
    <row r="483">
      <c r="B483" s="288"/>
      <c r="C483" s="289"/>
    </row>
    <row r="484">
      <c r="B484" s="288"/>
      <c r="C484" s="289"/>
    </row>
    <row r="485">
      <c r="B485" s="288"/>
      <c r="C485" s="289"/>
    </row>
    <row r="486">
      <c r="B486" s="288"/>
      <c r="C486" s="289"/>
    </row>
    <row r="487">
      <c r="B487" s="288"/>
      <c r="C487" s="289"/>
    </row>
    <row r="488">
      <c r="B488" s="288"/>
      <c r="C488" s="289"/>
    </row>
    <row r="489">
      <c r="B489" s="288"/>
      <c r="C489" s="289"/>
    </row>
    <row r="490">
      <c r="B490" s="288"/>
      <c r="C490" s="289"/>
    </row>
    <row r="491">
      <c r="B491" s="288"/>
      <c r="C491" s="289"/>
    </row>
    <row r="492">
      <c r="B492" s="288"/>
      <c r="C492" s="289"/>
    </row>
    <row r="493">
      <c r="B493" s="288"/>
      <c r="C493" s="289"/>
    </row>
    <row r="494">
      <c r="B494" s="288"/>
      <c r="C494" s="289"/>
    </row>
    <row r="495">
      <c r="B495" s="288"/>
      <c r="C495" s="289"/>
    </row>
    <row r="496">
      <c r="B496" s="288"/>
      <c r="C496" s="289"/>
    </row>
    <row r="497">
      <c r="B497" s="288"/>
      <c r="C497" s="289"/>
    </row>
    <row r="498">
      <c r="B498" s="288"/>
      <c r="C498" s="289"/>
    </row>
    <row r="499">
      <c r="B499" s="288"/>
      <c r="C499" s="289"/>
    </row>
    <row r="500">
      <c r="B500" s="288"/>
      <c r="C500" s="289"/>
    </row>
    <row r="501">
      <c r="B501" s="288"/>
      <c r="C501" s="289"/>
    </row>
    <row r="502">
      <c r="B502" s="288"/>
      <c r="C502" s="289"/>
    </row>
    <row r="503">
      <c r="B503" s="288"/>
      <c r="C503" s="289"/>
    </row>
    <row r="504">
      <c r="B504" s="288"/>
      <c r="C504" s="289"/>
    </row>
    <row r="505">
      <c r="B505" s="288"/>
      <c r="C505" s="289"/>
    </row>
    <row r="506">
      <c r="B506" s="288"/>
      <c r="C506" s="289"/>
    </row>
    <row r="507">
      <c r="B507" s="288"/>
      <c r="C507" s="289"/>
    </row>
    <row r="508">
      <c r="B508" s="288"/>
      <c r="C508" s="289"/>
    </row>
    <row r="509">
      <c r="B509" s="288"/>
      <c r="C509" s="289"/>
    </row>
    <row r="510">
      <c r="B510" s="288"/>
      <c r="C510" s="289"/>
    </row>
    <row r="511">
      <c r="B511" s="288"/>
      <c r="C511" s="289"/>
    </row>
    <row r="512">
      <c r="B512" s="288"/>
      <c r="C512" s="289"/>
    </row>
    <row r="513">
      <c r="B513" s="288"/>
      <c r="C513" s="289"/>
    </row>
    <row r="514">
      <c r="B514" s="288"/>
      <c r="C514" s="289"/>
    </row>
    <row r="515">
      <c r="B515" s="288"/>
      <c r="C515" s="289"/>
    </row>
    <row r="516">
      <c r="B516" s="288"/>
      <c r="C516" s="289"/>
    </row>
    <row r="517">
      <c r="B517" s="288"/>
      <c r="C517" s="289"/>
    </row>
    <row r="518">
      <c r="B518" s="288"/>
      <c r="C518" s="289"/>
    </row>
    <row r="519">
      <c r="B519" s="288"/>
      <c r="C519" s="289"/>
    </row>
    <row r="520">
      <c r="B520" s="288"/>
      <c r="C520" s="289"/>
    </row>
    <row r="521">
      <c r="B521" s="288"/>
      <c r="C521" s="289"/>
    </row>
    <row r="522">
      <c r="B522" s="288"/>
      <c r="C522" s="289"/>
    </row>
    <row r="523">
      <c r="B523" s="288"/>
      <c r="C523" s="289"/>
    </row>
    <row r="524">
      <c r="B524" s="288"/>
      <c r="C524" s="289"/>
    </row>
    <row r="525">
      <c r="B525" s="288"/>
      <c r="C525" s="289"/>
    </row>
    <row r="526">
      <c r="B526" s="288"/>
      <c r="C526" s="289"/>
    </row>
    <row r="527">
      <c r="B527" s="288"/>
      <c r="C527" s="289"/>
    </row>
    <row r="528">
      <c r="B528" s="288"/>
      <c r="C528" s="289"/>
    </row>
    <row r="529">
      <c r="B529" s="288"/>
      <c r="C529" s="289"/>
    </row>
    <row r="530">
      <c r="B530" s="288"/>
      <c r="C530" s="289"/>
    </row>
    <row r="531">
      <c r="B531" s="288"/>
      <c r="C531" s="289"/>
    </row>
    <row r="532">
      <c r="B532" s="288"/>
      <c r="C532" s="289"/>
    </row>
    <row r="533">
      <c r="B533" s="288"/>
      <c r="C533" s="289"/>
    </row>
    <row r="534">
      <c r="B534" s="288"/>
      <c r="C534" s="289"/>
    </row>
    <row r="535">
      <c r="B535" s="288"/>
      <c r="C535" s="289"/>
    </row>
    <row r="536">
      <c r="B536" s="288"/>
      <c r="C536" s="289"/>
    </row>
    <row r="537">
      <c r="B537" s="288"/>
      <c r="C537" s="289"/>
    </row>
    <row r="538">
      <c r="B538" s="288"/>
      <c r="C538" s="289"/>
    </row>
    <row r="539">
      <c r="B539" s="288"/>
      <c r="C539" s="289"/>
    </row>
    <row r="540">
      <c r="B540" s="288"/>
      <c r="C540" s="289"/>
    </row>
    <row r="541">
      <c r="B541" s="288"/>
      <c r="C541" s="289"/>
    </row>
    <row r="542">
      <c r="B542" s="288"/>
      <c r="C542" s="289"/>
    </row>
    <row r="543">
      <c r="B543" s="288"/>
      <c r="C543" s="289"/>
    </row>
    <row r="544">
      <c r="B544" s="288"/>
      <c r="C544" s="289"/>
    </row>
    <row r="545">
      <c r="B545" s="288"/>
      <c r="C545" s="289"/>
    </row>
    <row r="546">
      <c r="B546" s="288"/>
      <c r="C546" s="289"/>
    </row>
    <row r="547">
      <c r="B547" s="288"/>
      <c r="C547" s="289"/>
    </row>
    <row r="548">
      <c r="B548" s="288"/>
      <c r="C548" s="289"/>
    </row>
    <row r="549">
      <c r="B549" s="288"/>
      <c r="C549" s="289"/>
    </row>
    <row r="550">
      <c r="B550" s="288"/>
      <c r="C550" s="289"/>
    </row>
    <row r="551">
      <c r="B551" s="288"/>
      <c r="C551" s="289"/>
    </row>
    <row r="552">
      <c r="B552" s="288"/>
      <c r="C552" s="289"/>
    </row>
    <row r="553">
      <c r="B553" s="288"/>
      <c r="C553" s="289"/>
    </row>
    <row r="554">
      <c r="B554" s="288"/>
      <c r="C554" s="289"/>
    </row>
    <row r="555">
      <c r="B555" s="288"/>
      <c r="C555" s="289"/>
    </row>
    <row r="556">
      <c r="B556" s="288"/>
      <c r="C556" s="289"/>
    </row>
    <row r="557">
      <c r="B557" s="288"/>
      <c r="C557" s="289"/>
    </row>
    <row r="558">
      <c r="B558" s="288"/>
      <c r="C558" s="289"/>
    </row>
    <row r="559">
      <c r="B559" s="288"/>
      <c r="C559" s="289"/>
    </row>
    <row r="560">
      <c r="B560" s="288"/>
      <c r="C560" s="289"/>
    </row>
    <row r="561">
      <c r="B561" s="288"/>
      <c r="C561" s="289"/>
    </row>
    <row r="562">
      <c r="B562" s="288"/>
      <c r="C562" s="289"/>
    </row>
    <row r="563">
      <c r="B563" s="288"/>
      <c r="C563" s="289"/>
    </row>
    <row r="564">
      <c r="B564" s="288"/>
      <c r="C564" s="289"/>
    </row>
    <row r="565">
      <c r="B565" s="288"/>
      <c r="C565" s="289"/>
    </row>
    <row r="566">
      <c r="B566" s="288"/>
      <c r="C566" s="289"/>
    </row>
    <row r="567">
      <c r="B567" s="288"/>
      <c r="C567" s="289"/>
    </row>
    <row r="568">
      <c r="B568" s="288"/>
      <c r="C568" s="289"/>
    </row>
    <row r="569">
      <c r="B569" s="288"/>
      <c r="C569" s="289"/>
    </row>
    <row r="570">
      <c r="B570" s="288"/>
      <c r="C570" s="289"/>
    </row>
    <row r="571">
      <c r="B571" s="288"/>
      <c r="C571" s="289"/>
    </row>
    <row r="572">
      <c r="B572" s="288"/>
      <c r="C572" s="289"/>
    </row>
    <row r="573">
      <c r="B573" s="288"/>
      <c r="C573" s="289"/>
    </row>
    <row r="574">
      <c r="B574" s="288"/>
      <c r="C574" s="289"/>
    </row>
    <row r="575">
      <c r="B575" s="288"/>
      <c r="C575" s="289"/>
    </row>
    <row r="576">
      <c r="B576" s="288"/>
      <c r="C576" s="289"/>
    </row>
    <row r="577">
      <c r="B577" s="288"/>
      <c r="C577" s="289"/>
    </row>
    <row r="578">
      <c r="B578" s="288"/>
      <c r="C578" s="289"/>
    </row>
    <row r="579">
      <c r="B579" s="288"/>
      <c r="C579" s="289"/>
    </row>
    <row r="580">
      <c r="B580" s="288"/>
      <c r="C580" s="289"/>
    </row>
    <row r="581">
      <c r="B581" s="288"/>
      <c r="C581" s="289"/>
    </row>
    <row r="582">
      <c r="B582" s="288"/>
      <c r="C582" s="289"/>
    </row>
    <row r="583">
      <c r="B583" s="288"/>
      <c r="C583" s="289"/>
    </row>
    <row r="584">
      <c r="B584" s="288"/>
      <c r="C584" s="289"/>
    </row>
    <row r="585">
      <c r="B585" s="288"/>
      <c r="C585" s="289"/>
    </row>
    <row r="586">
      <c r="B586" s="288"/>
      <c r="C586" s="289"/>
    </row>
    <row r="587">
      <c r="B587" s="288"/>
      <c r="C587" s="289"/>
    </row>
    <row r="588">
      <c r="B588" s="288"/>
      <c r="C588" s="289"/>
    </row>
    <row r="589">
      <c r="B589" s="288"/>
      <c r="C589" s="289"/>
    </row>
    <row r="590">
      <c r="B590" s="288"/>
      <c r="C590" s="289"/>
    </row>
    <row r="591">
      <c r="B591" s="288"/>
      <c r="C591" s="289"/>
    </row>
    <row r="592">
      <c r="B592" s="288"/>
      <c r="C592" s="289"/>
    </row>
    <row r="593">
      <c r="B593" s="288"/>
      <c r="C593" s="289"/>
    </row>
    <row r="594">
      <c r="B594" s="288"/>
      <c r="C594" s="289"/>
    </row>
    <row r="595">
      <c r="B595" s="288"/>
      <c r="C595" s="289"/>
    </row>
    <row r="596">
      <c r="B596" s="288"/>
      <c r="C596" s="289"/>
    </row>
    <row r="597">
      <c r="B597" s="288"/>
      <c r="C597" s="289"/>
    </row>
    <row r="598">
      <c r="B598" s="288"/>
      <c r="C598" s="289"/>
    </row>
    <row r="599">
      <c r="B599" s="288"/>
      <c r="C599" s="289"/>
    </row>
    <row r="600">
      <c r="B600" s="288"/>
      <c r="C600" s="289"/>
    </row>
    <row r="601">
      <c r="B601" s="288"/>
      <c r="C601" s="289"/>
    </row>
    <row r="602">
      <c r="B602" s="288"/>
      <c r="C602" s="289"/>
    </row>
    <row r="603">
      <c r="B603" s="288"/>
      <c r="C603" s="289"/>
    </row>
    <row r="604">
      <c r="B604" s="288"/>
      <c r="C604" s="289"/>
    </row>
    <row r="605">
      <c r="B605" s="288"/>
      <c r="C605" s="289"/>
    </row>
    <row r="606">
      <c r="B606" s="288"/>
      <c r="C606" s="289"/>
    </row>
    <row r="607">
      <c r="B607" s="288"/>
      <c r="C607" s="289"/>
    </row>
    <row r="608">
      <c r="B608" s="288"/>
      <c r="C608" s="289"/>
    </row>
    <row r="609">
      <c r="B609" s="288"/>
      <c r="C609" s="289"/>
    </row>
    <row r="610">
      <c r="B610" s="288"/>
      <c r="C610" s="289"/>
    </row>
    <row r="611">
      <c r="B611" s="288"/>
      <c r="C611" s="289"/>
    </row>
    <row r="612">
      <c r="B612" s="288"/>
      <c r="C612" s="289"/>
    </row>
    <row r="613">
      <c r="B613" s="288"/>
      <c r="C613" s="289"/>
    </row>
    <row r="614">
      <c r="B614" s="288"/>
      <c r="C614" s="289"/>
    </row>
    <row r="615">
      <c r="B615" s="288"/>
      <c r="C615" s="289"/>
    </row>
    <row r="616">
      <c r="B616" s="288"/>
      <c r="C616" s="289"/>
    </row>
    <row r="617">
      <c r="B617" s="288"/>
      <c r="C617" s="289"/>
    </row>
    <row r="618">
      <c r="B618" s="288"/>
      <c r="C618" s="289"/>
    </row>
    <row r="619">
      <c r="B619" s="288"/>
      <c r="C619" s="289"/>
    </row>
    <row r="620">
      <c r="B620" s="288"/>
      <c r="C620" s="289"/>
    </row>
    <row r="621">
      <c r="B621" s="288"/>
      <c r="C621" s="289"/>
    </row>
    <row r="622">
      <c r="B622" s="288"/>
      <c r="C622" s="289"/>
    </row>
    <row r="623">
      <c r="B623" s="288"/>
      <c r="C623" s="289"/>
    </row>
    <row r="624">
      <c r="B624" s="288"/>
      <c r="C624" s="289"/>
    </row>
    <row r="625">
      <c r="B625" s="288"/>
      <c r="C625" s="289"/>
    </row>
    <row r="626">
      <c r="B626" s="288"/>
      <c r="C626" s="289"/>
    </row>
    <row r="627">
      <c r="B627" s="288"/>
      <c r="C627" s="289"/>
    </row>
    <row r="628">
      <c r="B628" s="288"/>
      <c r="C628" s="289"/>
    </row>
    <row r="629">
      <c r="B629" s="288"/>
      <c r="C629" s="289"/>
    </row>
    <row r="630">
      <c r="B630" s="288"/>
      <c r="C630" s="289"/>
    </row>
    <row r="631">
      <c r="B631" s="288"/>
      <c r="C631" s="289"/>
    </row>
    <row r="632">
      <c r="B632" s="288"/>
      <c r="C632" s="289"/>
    </row>
    <row r="633">
      <c r="B633" s="288"/>
      <c r="C633" s="289"/>
    </row>
    <row r="634">
      <c r="B634" s="288"/>
      <c r="C634" s="289"/>
    </row>
    <row r="635">
      <c r="B635" s="288"/>
      <c r="C635" s="289"/>
    </row>
    <row r="636">
      <c r="B636" s="288"/>
      <c r="C636" s="289"/>
    </row>
    <row r="637">
      <c r="B637" s="288"/>
      <c r="C637" s="289"/>
    </row>
    <row r="638">
      <c r="B638" s="288"/>
      <c r="C638" s="289"/>
    </row>
    <row r="639">
      <c r="B639" s="288"/>
      <c r="C639" s="289"/>
    </row>
    <row r="640">
      <c r="B640" s="288"/>
      <c r="C640" s="289"/>
    </row>
    <row r="641">
      <c r="B641" s="288"/>
      <c r="C641" s="289"/>
    </row>
    <row r="642">
      <c r="B642" s="288"/>
      <c r="C642" s="289"/>
    </row>
    <row r="643">
      <c r="B643" s="288"/>
      <c r="C643" s="289"/>
    </row>
    <row r="644">
      <c r="B644" s="288"/>
      <c r="C644" s="289"/>
    </row>
    <row r="645">
      <c r="B645" s="288"/>
      <c r="C645" s="289"/>
    </row>
    <row r="646">
      <c r="B646" s="288"/>
      <c r="C646" s="289"/>
    </row>
    <row r="647">
      <c r="B647" s="288"/>
      <c r="C647" s="289"/>
    </row>
    <row r="648">
      <c r="B648" s="288"/>
      <c r="C648" s="289"/>
    </row>
    <row r="649">
      <c r="B649" s="288"/>
      <c r="C649" s="289"/>
    </row>
    <row r="650">
      <c r="B650" s="288"/>
      <c r="C650" s="289"/>
    </row>
    <row r="651">
      <c r="B651" s="288"/>
      <c r="C651" s="289"/>
    </row>
    <row r="652">
      <c r="B652" s="288"/>
      <c r="C652" s="289"/>
    </row>
    <row r="653">
      <c r="B653" s="288"/>
      <c r="C653" s="289"/>
    </row>
    <row r="654">
      <c r="B654" s="288"/>
      <c r="C654" s="289"/>
    </row>
    <row r="655">
      <c r="B655" s="288"/>
      <c r="C655" s="289"/>
    </row>
    <row r="656">
      <c r="B656" s="288"/>
      <c r="C656" s="289"/>
    </row>
    <row r="657">
      <c r="B657" s="288"/>
      <c r="C657" s="289"/>
    </row>
    <row r="658">
      <c r="B658" s="288"/>
      <c r="C658" s="289"/>
    </row>
    <row r="659">
      <c r="B659" s="288"/>
      <c r="C659" s="289"/>
    </row>
    <row r="660">
      <c r="B660" s="288"/>
      <c r="C660" s="289"/>
    </row>
    <row r="661">
      <c r="B661" s="288"/>
      <c r="C661" s="289"/>
    </row>
    <row r="662">
      <c r="B662" s="288"/>
      <c r="C662" s="289"/>
    </row>
    <row r="663">
      <c r="B663" s="288"/>
      <c r="C663" s="289"/>
    </row>
    <row r="664">
      <c r="B664" s="288"/>
      <c r="C664" s="289"/>
    </row>
    <row r="665">
      <c r="B665" s="288"/>
      <c r="C665" s="289"/>
    </row>
    <row r="666">
      <c r="B666" s="288"/>
      <c r="C666" s="289"/>
    </row>
    <row r="667">
      <c r="B667" s="288"/>
      <c r="C667" s="289"/>
    </row>
    <row r="668">
      <c r="B668" s="288"/>
      <c r="C668" s="289"/>
    </row>
    <row r="669">
      <c r="B669" s="288"/>
      <c r="C669" s="289"/>
    </row>
    <row r="670">
      <c r="B670" s="288"/>
      <c r="C670" s="289"/>
    </row>
    <row r="671">
      <c r="B671" s="288"/>
      <c r="C671" s="289"/>
    </row>
    <row r="672">
      <c r="B672" s="288"/>
      <c r="C672" s="289"/>
    </row>
    <row r="673">
      <c r="B673" s="288"/>
      <c r="C673" s="289"/>
    </row>
    <row r="674">
      <c r="B674" s="288"/>
      <c r="C674" s="289"/>
    </row>
    <row r="675">
      <c r="B675" s="288"/>
      <c r="C675" s="289"/>
    </row>
    <row r="676">
      <c r="B676" s="288"/>
      <c r="C676" s="289"/>
    </row>
    <row r="677">
      <c r="B677" s="288"/>
      <c r="C677" s="289"/>
    </row>
    <row r="678">
      <c r="B678" s="288"/>
      <c r="C678" s="289"/>
    </row>
    <row r="679">
      <c r="B679" s="288"/>
      <c r="C679" s="289"/>
    </row>
    <row r="680">
      <c r="B680" s="288"/>
      <c r="C680" s="289"/>
    </row>
    <row r="681">
      <c r="B681" s="288"/>
      <c r="C681" s="289"/>
    </row>
    <row r="682">
      <c r="B682" s="288"/>
      <c r="C682" s="289"/>
    </row>
    <row r="683">
      <c r="B683" s="288"/>
      <c r="C683" s="289"/>
    </row>
    <row r="684">
      <c r="B684" s="288"/>
      <c r="C684" s="289"/>
    </row>
    <row r="685">
      <c r="B685" s="288"/>
      <c r="C685" s="289"/>
    </row>
    <row r="686">
      <c r="B686" s="288"/>
      <c r="C686" s="289"/>
    </row>
    <row r="687">
      <c r="B687" s="288"/>
      <c r="C687" s="289"/>
    </row>
    <row r="688">
      <c r="B688" s="288"/>
      <c r="C688" s="289"/>
    </row>
    <row r="689">
      <c r="B689" s="288"/>
      <c r="C689" s="289"/>
    </row>
    <row r="690">
      <c r="B690" s="288"/>
      <c r="C690" s="289"/>
    </row>
    <row r="691">
      <c r="B691" s="288"/>
      <c r="C691" s="289"/>
    </row>
    <row r="692">
      <c r="B692" s="288"/>
      <c r="C692" s="289"/>
    </row>
    <row r="693">
      <c r="B693" s="288"/>
      <c r="C693" s="289"/>
    </row>
    <row r="694">
      <c r="B694" s="288"/>
      <c r="C694" s="289"/>
    </row>
    <row r="695">
      <c r="B695" s="288"/>
      <c r="C695" s="289"/>
    </row>
    <row r="696">
      <c r="B696" s="288"/>
      <c r="C696" s="289"/>
    </row>
    <row r="697">
      <c r="B697" s="288"/>
      <c r="C697" s="289"/>
    </row>
    <row r="698">
      <c r="B698" s="288"/>
      <c r="C698" s="289"/>
    </row>
    <row r="699">
      <c r="B699" s="288"/>
      <c r="C699" s="289"/>
    </row>
    <row r="700">
      <c r="B700" s="288"/>
      <c r="C700" s="289"/>
    </row>
    <row r="701">
      <c r="B701" s="288"/>
      <c r="C701" s="289"/>
    </row>
    <row r="702">
      <c r="B702" s="288"/>
      <c r="C702" s="289"/>
    </row>
    <row r="703">
      <c r="B703" s="288"/>
      <c r="C703" s="289"/>
    </row>
    <row r="704">
      <c r="B704" s="288"/>
      <c r="C704" s="289"/>
    </row>
    <row r="705">
      <c r="B705" s="288"/>
      <c r="C705" s="289"/>
    </row>
    <row r="706">
      <c r="B706" s="288"/>
      <c r="C706" s="289"/>
    </row>
    <row r="707">
      <c r="B707" s="288"/>
      <c r="C707" s="289"/>
    </row>
    <row r="708">
      <c r="B708" s="288"/>
      <c r="C708" s="289"/>
    </row>
    <row r="709">
      <c r="B709" s="288"/>
      <c r="C709" s="289"/>
    </row>
    <row r="710">
      <c r="B710" s="288"/>
      <c r="C710" s="289"/>
    </row>
    <row r="711">
      <c r="B711" s="288"/>
      <c r="C711" s="289"/>
    </row>
    <row r="712">
      <c r="B712" s="288"/>
      <c r="C712" s="289"/>
    </row>
    <row r="713">
      <c r="B713" s="288"/>
      <c r="C713" s="289"/>
    </row>
    <row r="714">
      <c r="B714" s="288"/>
      <c r="C714" s="289"/>
    </row>
    <row r="715">
      <c r="B715" s="288"/>
      <c r="C715" s="289"/>
    </row>
    <row r="716">
      <c r="B716" s="288"/>
      <c r="C716" s="289"/>
    </row>
    <row r="717">
      <c r="B717" s="288"/>
      <c r="C717" s="289"/>
    </row>
    <row r="718">
      <c r="B718" s="288"/>
      <c r="C718" s="289"/>
    </row>
    <row r="719">
      <c r="B719" s="288"/>
      <c r="C719" s="289"/>
    </row>
    <row r="720">
      <c r="B720" s="288"/>
      <c r="C720" s="289"/>
    </row>
    <row r="721">
      <c r="B721" s="288"/>
      <c r="C721" s="289"/>
    </row>
    <row r="722">
      <c r="B722" s="288"/>
      <c r="C722" s="289"/>
    </row>
    <row r="723">
      <c r="B723" s="288"/>
      <c r="C723" s="289"/>
    </row>
    <row r="724">
      <c r="B724" s="288"/>
      <c r="C724" s="289"/>
    </row>
    <row r="725">
      <c r="B725" s="288"/>
      <c r="C725" s="289"/>
    </row>
    <row r="726">
      <c r="B726" s="288"/>
      <c r="C726" s="289"/>
    </row>
    <row r="727">
      <c r="B727" s="288"/>
      <c r="C727" s="289"/>
    </row>
    <row r="728">
      <c r="B728" s="288"/>
      <c r="C728" s="289"/>
    </row>
    <row r="729">
      <c r="B729" s="288"/>
      <c r="C729" s="289"/>
    </row>
    <row r="730">
      <c r="B730" s="288"/>
      <c r="C730" s="289"/>
    </row>
    <row r="731">
      <c r="B731" s="288"/>
      <c r="C731" s="289"/>
    </row>
    <row r="732">
      <c r="B732" s="288"/>
      <c r="C732" s="289"/>
    </row>
    <row r="733">
      <c r="B733" s="288"/>
      <c r="C733" s="289"/>
    </row>
    <row r="734">
      <c r="B734" s="288"/>
      <c r="C734" s="289"/>
    </row>
    <row r="735">
      <c r="B735" s="288"/>
      <c r="C735" s="289"/>
    </row>
    <row r="736">
      <c r="B736" s="288"/>
      <c r="C736" s="289"/>
    </row>
    <row r="737">
      <c r="B737" s="288"/>
      <c r="C737" s="289"/>
    </row>
    <row r="738">
      <c r="B738" s="288"/>
      <c r="C738" s="289"/>
    </row>
    <row r="739">
      <c r="B739" s="288"/>
      <c r="C739" s="289"/>
    </row>
    <row r="740">
      <c r="B740" s="288"/>
      <c r="C740" s="289"/>
    </row>
    <row r="741">
      <c r="B741" s="288"/>
      <c r="C741" s="289"/>
    </row>
    <row r="742">
      <c r="B742" s="288"/>
      <c r="C742" s="289"/>
    </row>
    <row r="743">
      <c r="B743" s="288"/>
      <c r="C743" s="289"/>
    </row>
    <row r="744">
      <c r="B744" s="288"/>
      <c r="C744" s="289"/>
    </row>
    <row r="745">
      <c r="B745" s="288"/>
      <c r="C745" s="289"/>
    </row>
    <row r="746">
      <c r="B746" s="288"/>
      <c r="C746" s="289"/>
    </row>
    <row r="747">
      <c r="B747" s="288"/>
      <c r="C747" s="289"/>
    </row>
    <row r="748">
      <c r="B748" s="288"/>
      <c r="C748" s="289"/>
    </row>
    <row r="749">
      <c r="B749" s="288"/>
      <c r="C749" s="289"/>
    </row>
    <row r="750">
      <c r="B750" s="288"/>
      <c r="C750" s="289"/>
    </row>
    <row r="751">
      <c r="B751" s="288"/>
      <c r="C751" s="289"/>
    </row>
    <row r="752">
      <c r="B752" s="288"/>
      <c r="C752" s="289"/>
    </row>
    <row r="753">
      <c r="B753" s="288"/>
      <c r="C753" s="289"/>
    </row>
    <row r="754">
      <c r="B754" s="288"/>
      <c r="C754" s="289"/>
    </row>
    <row r="755">
      <c r="B755" s="288"/>
      <c r="C755" s="289"/>
    </row>
    <row r="756">
      <c r="B756" s="288"/>
      <c r="C756" s="289"/>
    </row>
    <row r="757">
      <c r="B757" s="288"/>
      <c r="C757" s="289"/>
    </row>
    <row r="758">
      <c r="B758" s="288"/>
      <c r="C758" s="289"/>
    </row>
    <row r="759">
      <c r="B759" s="288"/>
      <c r="C759" s="289"/>
    </row>
    <row r="760">
      <c r="B760" s="288"/>
      <c r="C760" s="289"/>
    </row>
    <row r="761">
      <c r="B761" s="288"/>
      <c r="C761" s="289"/>
    </row>
    <row r="762">
      <c r="B762" s="288"/>
      <c r="C762" s="289"/>
    </row>
    <row r="763">
      <c r="B763" s="288"/>
      <c r="C763" s="289"/>
    </row>
    <row r="764">
      <c r="B764" s="288"/>
      <c r="C764" s="289"/>
    </row>
    <row r="765">
      <c r="B765" s="288"/>
      <c r="C765" s="289"/>
    </row>
    <row r="766">
      <c r="B766" s="288"/>
      <c r="C766" s="289"/>
    </row>
    <row r="767">
      <c r="B767" s="288"/>
      <c r="C767" s="289"/>
    </row>
    <row r="768">
      <c r="B768" s="288"/>
      <c r="C768" s="289"/>
    </row>
    <row r="769">
      <c r="B769" s="288"/>
      <c r="C769" s="289"/>
    </row>
    <row r="770">
      <c r="B770" s="288"/>
      <c r="C770" s="289"/>
    </row>
    <row r="771">
      <c r="B771" s="288"/>
      <c r="C771" s="289"/>
    </row>
    <row r="772">
      <c r="B772" s="288"/>
      <c r="C772" s="289"/>
    </row>
    <row r="773">
      <c r="B773" s="288"/>
      <c r="C773" s="289"/>
    </row>
    <row r="774">
      <c r="B774" s="288"/>
      <c r="C774" s="289"/>
    </row>
    <row r="775">
      <c r="B775" s="288"/>
      <c r="C775" s="289"/>
    </row>
    <row r="776">
      <c r="B776" s="288"/>
      <c r="C776" s="289"/>
    </row>
    <row r="777">
      <c r="B777" s="288"/>
      <c r="C777" s="289"/>
    </row>
    <row r="778">
      <c r="B778" s="288"/>
      <c r="C778" s="289"/>
    </row>
    <row r="779">
      <c r="B779" s="288"/>
      <c r="C779" s="289"/>
    </row>
    <row r="780">
      <c r="B780" s="288"/>
      <c r="C780" s="289"/>
    </row>
    <row r="781">
      <c r="B781" s="288"/>
      <c r="C781" s="289"/>
    </row>
    <row r="782">
      <c r="B782" s="288"/>
      <c r="C782" s="289"/>
    </row>
    <row r="783">
      <c r="B783" s="288"/>
      <c r="C783" s="289"/>
    </row>
    <row r="784">
      <c r="B784" s="288"/>
      <c r="C784" s="289"/>
    </row>
    <row r="785">
      <c r="B785" s="288"/>
      <c r="C785" s="289"/>
    </row>
    <row r="786">
      <c r="B786" s="288"/>
      <c r="C786" s="289"/>
    </row>
    <row r="787">
      <c r="B787" s="288"/>
      <c r="C787" s="289"/>
    </row>
    <row r="788">
      <c r="B788" s="288"/>
      <c r="C788" s="289"/>
    </row>
    <row r="789">
      <c r="B789" s="288"/>
      <c r="C789" s="289"/>
    </row>
    <row r="790">
      <c r="B790" s="288"/>
      <c r="C790" s="289"/>
    </row>
    <row r="791">
      <c r="B791" s="288"/>
      <c r="C791" s="289"/>
    </row>
    <row r="792">
      <c r="B792" s="288"/>
      <c r="C792" s="289"/>
    </row>
    <row r="793">
      <c r="B793" s="288"/>
      <c r="C793" s="289"/>
    </row>
    <row r="794">
      <c r="B794" s="288"/>
      <c r="C794" s="289"/>
    </row>
    <row r="795">
      <c r="B795" s="288"/>
      <c r="C795" s="289"/>
    </row>
    <row r="796">
      <c r="B796" s="288"/>
      <c r="C796" s="289"/>
    </row>
    <row r="797">
      <c r="B797" s="288"/>
      <c r="C797" s="289"/>
    </row>
    <row r="798">
      <c r="B798" s="288"/>
      <c r="C798" s="289"/>
    </row>
    <row r="799">
      <c r="B799" s="288"/>
      <c r="C799" s="289"/>
    </row>
    <row r="800">
      <c r="B800" s="288"/>
      <c r="C800" s="289"/>
    </row>
    <row r="801">
      <c r="B801" s="288"/>
      <c r="C801" s="289"/>
    </row>
    <row r="802">
      <c r="B802" s="288"/>
      <c r="C802" s="289"/>
    </row>
    <row r="803">
      <c r="B803" s="288"/>
      <c r="C803" s="289"/>
    </row>
    <row r="804">
      <c r="B804" s="288"/>
      <c r="C804" s="289"/>
    </row>
    <row r="805">
      <c r="B805" s="288"/>
      <c r="C805" s="289"/>
    </row>
    <row r="806">
      <c r="B806" s="288"/>
      <c r="C806" s="289"/>
    </row>
    <row r="807">
      <c r="B807" s="288"/>
      <c r="C807" s="289"/>
    </row>
    <row r="808">
      <c r="B808" s="288"/>
      <c r="C808" s="289"/>
    </row>
    <row r="809">
      <c r="B809" s="288"/>
      <c r="C809" s="289"/>
    </row>
    <row r="810">
      <c r="B810" s="288"/>
      <c r="C810" s="289"/>
    </row>
    <row r="811">
      <c r="B811" s="288"/>
      <c r="C811" s="289"/>
    </row>
    <row r="812">
      <c r="B812" s="288"/>
      <c r="C812" s="289"/>
    </row>
    <row r="813">
      <c r="B813" s="288"/>
      <c r="C813" s="289"/>
    </row>
    <row r="814">
      <c r="B814" s="288"/>
      <c r="C814" s="289"/>
    </row>
    <row r="815">
      <c r="B815" s="288"/>
      <c r="C815" s="289"/>
    </row>
    <row r="816">
      <c r="B816" s="288"/>
      <c r="C816" s="289"/>
    </row>
    <row r="817">
      <c r="B817" s="288"/>
      <c r="C817" s="289"/>
    </row>
    <row r="818">
      <c r="B818" s="288"/>
      <c r="C818" s="289"/>
    </row>
    <row r="819">
      <c r="B819" s="288"/>
      <c r="C819" s="289"/>
    </row>
    <row r="820">
      <c r="B820" s="288"/>
      <c r="C820" s="289"/>
    </row>
    <row r="821">
      <c r="B821" s="288"/>
      <c r="C821" s="289"/>
    </row>
    <row r="822">
      <c r="B822" s="288"/>
      <c r="C822" s="289"/>
    </row>
    <row r="823">
      <c r="B823" s="288"/>
      <c r="C823" s="289"/>
    </row>
    <row r="824">
      <c r="B824" s="288"/>
      <c r="C824" s="289"/>
    </row>
    <row r="825">
      <c r="B825" s="288"/>
      <c r="C825" s="289"/>
    </row>
    <row r="826">
      <c r="B826" s="288"/>
      <c r="C826" s="289"/>
    </row>
    <row r="827">
      <c r="B827" s="288"/>
      <c r="C827" s="289"/>
    </row>
    <row r="828">
      <c r="B828" s="288"/>
      <c r="C828" s="289"/>
    </row>
    <row r="829">
      <c r="B829" s="288"/>
      <c r="C829" s="289"/>
    </row>
    <row r="830">
      <c r="B830" s="288"/>
      <c r="C830" s="289"/>
    </row>
    <row r="831">
      <c r="B831" s="288"/>
      <c r="C831" s="289"/>
    </row>
    <row r="832">
      <c r="B832" s="288"/>
      <c r="C832" s="289"/>
    </row>
    <row r="833">
      <c r="B833" s="288"/>
      <c r="C833" s="289"/>
    </row>
    <row r="834">
      <c r="B834" s="288"/>
      <c r="C834" s="289"/>
    </row>
    <row r="835">
      <c r="B835" s="288"/>
      <c r="C835" s="289"/>
    </row>
    <row r="836">
      <c r="B836" s="288"/>
      <c r="C836" s="289"/>
    </row>
    <row r="837">
      <c r="B837" s="288"/>
      <c r="C837" s="289"/>
    </row>
    <row r="838">
      <c r="B838" s="288"/>
      <c r="C838" s="289"/>
    </row>
    <row r="839">
      <c r="B839" s="288"/>
      <c r="C839" s="289"/>
    </row>
    <row r="840">
      <c r="B840" s="288"/>
      <c r="C840" s="289"/>
    </row>
    <row r="841">
      <c r="B841" s="288"/>
      <c r="C841" s="289"/>
    </row>
    <row r="842">
      <c r="B842" s="288"/>
      <c r="C842" s="289"/>
    </row>
    <row r="843">
      <c r="B843" s="288"/>
      <c r="C843" s="289"/>
    </row>
    <row r="844">
      <c r="B844" s="288"/>
      <c r="C844" s="289"/>
    </row>
    <row r="845">
      <c r="B845" s="288"/>
      <c r="C845" s="289"/>
    </row>
    <row r="846">
      <c r="B846" s="288"/>
      <c r="C846" s="289"/>
    </row>
    <row r="847">
      <c r="B847" s="288"/>
      <c r="C847" s="289"/>
    </row>
    <row r="848">
      <c r="B848" s="288"/>
      <c r="C848" s="289"/>
    </row>
    <row r="849">
      <c r="B849" s="288"/>
      <c r="C849" s="289"/>
    </row>
    <row r="850">
      <c r="B850" s="288"/>
      <c r="C850" s="289"/>
    </row>
    <row r="851">
      <c r="B851" s="288"/>
      <c r="C851" s="289"/>
    </row>
    <row r="852">
      <c r="B852" s="288"/>
      <c r="C852" s="289"/>
    </row>
    <row r="853">
      <c r="B853" s="288"/>
      <c r="C853" s="289"/>
    </row>
    <row r="854">
      <c r="B854" s="288"/>
      <c r="C854" s="289"/>
    </row>
    <row r="855">
      <c r="B855" s="288"/>
      <c r="C855" s="289"/>
    </row>
    <row r="856">
      <c r="B856" s="288"/>
      <c r="C856" s="289"/>
    </row>
    <row r="857">
      <c r="B857" s="288"/>
      <c r="C857" s="289"/>
    </row>
    <row r="858">
      <c r="B858" s="288"/>
      <c r="C858" s="289"/>
    </row>
    <row r="859">
      <c r="B859" s="288"/>
      <c r="C859" s="289"/>
    </row>
    <row r="860">
      <c r="B860" s="288"/>
      <c r="C860" s="289"/>
    </row>
    <row r="861">
      <c r="B861" s="288"/>
      <c r="C861" s="289"/>
    </row>
    <row r="862">
      <c r="B862" s="288"/>
      <c r="C862" s="289"/>
    </row>
    <row r="863">
      <c r="B863" s="288"/>
      <c r="C863" s="289"/>
    </row>
    <row r="864">
      <c r="B864" s="288"/>
      <c r="C864" s="289"/>
    </row>
    <row r="865">
      <c r="B865" s="288"/>
      <c r="C865" s="289"/>
    </row>
    <row r="866">
      <c r="B866" s="288"/>
      <c r="C866" s="289"/>
    </row>
    <row r="867">
      <c r="B867" s="288"/>
      <c r="C867" s="289"/>
    </row>
    <row r="868">
      <c r="B868" s="288"/>
      <c r="C868" s="289"/>
    </row>
    <row r="869">
      <c r="B869" s="288"/>
      <c r="C869" s="289"/>
    </row>
    <row r="870">
      <c r="B870" s="288"/>
      <c r="C870" s="289"/>
    </row>
    <row r="871">
      <c r="B871" s="288"/>
      <c r="C871" s="289"/>
    </row>
    <row r="872">
      <c r="B872" s="288"/>
      <c r="C872" s="289"/>
    </row>
    <row r="873">
      <c r="B873" s="288"/>
      <c r="C873" s="289"/>
    </row>
    <row r="874">
      <c r="B874" s="288"/>
      <c r="C874" s="289"/>
    </row>
    <row r="875">
      <c r="B875" s="288"/>
      <c r="C875" s="289"/>
    </row>
    <row r="876">
      <c r="B876" s="288"/>
      <c r="C876" s="289"/>
    </row>
    <row r="877">
      <c r="B877" s="288"/>
      <c r="C877" s="289"/>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53" t="s">
        <v>10</v>
      </c>
      <c r="B1" s="354">
        <f>'進捗'!P4</f>
        <v>70</v>
      </c>
      <c r="C1" s="355" t="s">
        <v>578</v>
      </c>
      <c r="D1" s="86"/>
      <c r="E1" s="86"/>
      <c r="F1" s="86"/>
      <c r="G1" s="355"/>
      <c r="H1" s="86"/>
      <c r="J1" s="86"/>
    </row>
    <row r="2">
      <c r="A2" s="353" t="s">
        <v>579</v>
      </c>
      <c r="B2" s="356">
        <f>'進捗'!P4-'進捗'!O4</f>
        <v>70</v>
      </c>
      <c r="C2" s="355" t="s">
        <v>580</v>
      </c>
      <c r="D2" s="86"/>
      <c r="E2" s="86"/>
      <c r="F2" s="355"/>
      <c r="G2" s="355"/>
      <c r="H2" s="86"/>
      <c r="J2" s="86"/>
    </row>
    <row r="3">
      <c r="A3" s="353" t="s">
        <v>581</v>
      </c>
      <c r="B3" s="357">
        <f>IFERROR(B1/B2,0)</f>
        <v>1</v>
      </c>
      <c r="C3" s="86"/>
      <c r="D3" s="86"/>
      <c r="E3" s="86"/>
      <c r="F3" s="86"/>
      <c r="G3" s="355"/>
      <c r="H3" s="86"/>
      <c r="J3" s="86"/>
    </row>
    <row r="4">
      <c r="A4" s="353" t="s">
        <v>582</v>
      </c>
      <c r="B4" s="357">
        <v>0.03</v>
      </c>
      <c r="C4" s="86"/>
      <c r="D4" s="86"/>
      <c r="E4" s="86"/>
      <c r="F4" s="86"/>
      <c r="G4" s="355"/>
      <c r="H4" s="86"/>
      <c r="J4" s="86"/>
    </row>
    <row r="5">
      <c r="A5" s="86"/>
      <c r="B5" s="86"/>
      <c r="C5" s="86"/>
      <c r="D5" s="86"/>
      <c r="E5" s="86"/>
      <c r="F5" s="86"/>
      <c r="G5" s="355"/>
      <c r="H5" s="86"/>
      <c r="J5" s="86"/>
    </row>
    <row r="6">
      <c r="A6" s="86"/>
      <c r="B6" s="355" t="s">
        <v>583</v>
      </c>
      <c r="C6" s="355"/>
      <c r="D6" s="355" t="s">
        <v>583</v>
      </c>
      <c r="E6" s="355"/>
      <c r="F6" s="355" t="s">
        <v>583</v>
      </c>
      <c r="G6" s="355" t="s">
        <v>583</v>
      </c>
      <c r="H6" s="358"/>
      <c r="I6" s="355" t="s">
        <v>583</v>
      </c>
      <c r="J6" s="355" t="s">
        <v>583</v>
      </c>
      <c r="M6" s="355" t="s">
        <v>583</v>
      </c>
    </row>
    <row r="7">
      <c r="A7" s="359" t="s">
        <v>584</v>
      </c>
      <c r="B7" s="353" t="s">
        <v>585</v>
      </c>
      <c r="C7" s="359" t="s">
        <v>586</v>
      </c>
      <c r="D7" s="353" t="s">
        <v>587</v>
      </c>
      <c r="E7" s="359" t="s">
        <v>588</v>
      </c>
      <c r="F7" s="353" t="s">
        <v>589</v>
      </c>
      <c r="G7" s="353" t="s">
        <v>590</v>
      </c>
      <c r="H7" s="359" t="s">
        <v>591</v>
      </c>
      <c r="I7" s="353" t="s">
        <v>592</v>
      </c>
      <c r="J7" s="353" t="s">
        <v>593</v>
      </c>
      <c r="K7" s="353" t="s">
        <v>594</v>
      </c>
      <c r="L7" s="353" t="s">
        <v>595</v>
      </c>
      <c r="M7" s="359" t="s">
        <v>596</v>
      </c>
    </row>
    <row r="8">
      <c r="A8" s="360">
        <v>45391.0</v>
      </c>
      <c r="B8" s="361">
        <f t="shared" ref="B8:B22" si="1">$B$1</f>
        <v>70</v>
      </c>
      <c r="C8" s="362">
        <f t="shared" ref="C8:C22" si="2">B8/count($A$8:$A$22)</f>
        <v>4.666666667</v>
      </c>
      <c r="D8" s="362">
        <f>C8</f>
        <v>4.666666667</v>
      </c>
      <c r="E8" s="363">
        <v>1.0</v>
      </c>
      <c r="F8" s="361">
        <f>E8</f>
        <v>1</v>
      </c>
      <c r="G8" s="362">
        <f t="shared" ref="G8:G22" si="3">F8*$B$4</f>
        <v>0.03</v>
      </c>
      <c r="H8" s="364">
        <f>countif('バグ一覧'!D:D,"=A8")</f>
        <v>0</v>
      </c>
      <c r="I8" s="354">
        <f>H8</f>
        <v>0</v>
      </c>
      <c r="J8" s="365">
        <f t="shared" ref="J8:J22" si="4">I8/B8</f>
        <v>0</v>
      </c>
      <c r="K8" s="354">
        <v>0.0</v>
      </c>
      <c r="L8" s="354">
        <f>K8</f>
        <v>0</v>
      </c>
      <c r="M8" s="354">
        <f t="shared" ref="M8:M22" si="5">I8-L8</f>
        <v>0</v>
      </c>
    </row>
    <row r="9">
      <c r="A9" s="366">
        <f t="shared" ref="A9:A22" si="6">A8+1</f>
        <v>45392</v>
      </c>
      <c r="B9" s="361">
        <f t="shared" si="1"/>
        <v>70</v>
      </c>
      <c r="C9" s="362">
        <f t="shared" si="2"/>
        <v>4.666666667</v>
      </c>
      <c r="D9" s="362">
        <f t="shared" ref="D9:D22" si="7">C9+D8</f>
        <v>9.333333333</v>
      </c>
      <c r="E9" s="363">
        <v>2.0</v>
      </c>
      <c r="F9" s="364">
        <f t="shared" ref="F9:F22" si="8">F8+E9</f>
        <v>3</v>
      </c>
      <c r="G9" s="362">
        <f t="shared" si="3"/>
        <v>0.09</v>
      </c>
      <c r="H9" s="364">
        <f>countif('バグ一覧'!D:D,"=A9")</f>
        <v>0</v>
      </c>
      <c r="I9" s="356">
        <f t="shared" ref="I9:I22" si="9">H9+I8</f>
        <v>0</v>
      </c>
      <c r="J9" s="365">
        <f t="shared" si="4"/>
        <v>0</v>
      </c>
      <c r="K9" s="354">
        <v>0.0</v>
      </c>
      <c r="L9" s="354">
        <f t="shared" ref="L9:L22" si="10">K9+L8</f>
        <v>0</v>
      </c>
      <c r="M9" s="354">
        <f t="shared" si="5"/>
        <v>0</v>
      </c>
    </row>
    <row r="10">
      <c r="A10" s="366">
        <f t="shared" si="6"/>
        <v>45393</v>
      </c>
      <c r="B10" s="361">
        <f t="shared" si="1"/>
        <v>70</v>
      </c>
      <c r="C10" s="362">
        <f t="shared" si="2"/>
        <v>4.666666667</v>
      </c>
      <c r="D10" s="362">
        <f t="shared" si="7"/>
        <v>14</v>
      </c>
      <c r="E10" s="367">
        <v>10.0</v>
      </c>
      <c r="F10" s="364">
        <f t="shared" si="8"/>
        <v>13</v>
      </c>
      <c r="G10" s="362">
        <f t="shared" si="3"/>
        <v>0.39</v>
      </c>
      <c r="H10" s="364">
        <f>countif('バグ一覧'!D:D,"=A10")</f>
        <v>0</v>
      </c>
      <c r="I10" s="356">
        <f t="shared" si="9"/>
        <v>0</v>
      </c>
      <c r="J10" s="365">
        <f t="shared" si="4"/>
        <v>0</v>
      </c>
      <c r="K10" s="354">
        <v>1.0</v>
      </c>
      <c r="L10" s="354">
        <f t="shared" si="10"/>
        <v>1</v>
      </c>
      <c r="M10" s="354">
        <f t="shared" si="5"/>
        <v>-1</v>
      </c>
    </row>
    <row r="11">
      <c r="A11" s="366">
        <f t="shared" si="6"/>
        <v>45394</v>
      </c>
      <c r="B11" s="361">
        <f t="shared" si="1"/>
        <v>70</v>
      </c>
      <c r="C11" s="362">
        <f t="shared" si="2"/>
        <v>4.666666667</v>
      </c>
      <c r="D11" s="362">
        <f t="shared" si="7"/>
        <v>18.66666667</v>
      </c>
      <c r="E11" s="367">
        <v>11.0</v>
      </c>
      <c r="F11" s="364">
        <f t="shared" si="8"/>
        <v>24</v>
      </c>
      <c r="G11" s="362">
        <f t="shared" si="3"/>
        <v>0.72</v>
      </c>
      <c r="H11" s="364">
        <f>countif('バグ一覧'!D:D,"=A11")</f>
        <v>0</v>
      </c>
      <c r="I11" s="356">
        <f t="shared" si="9"/>
        <v>0</v>
      </c>
      <c r="J11" s="365">
        <f t="shared" si="4"/>
        <v>0</v>
      </c>
      <c r="K11" s="354">
        <v>0.0</v>
      </c>
      <c r="L11" s="354">
        <f t="shared" si="10"/>
        <v>1</v>
      </c>
      <c r="M11" s="354">
        <f t="shared" si="5"/>
        <v>-1</v>
      </c>
    </row>
    <row r="12">
      <c r="A12" s="366">
        <f t="shared" si="6"/>
        <v>45395</v>
      </c>
      <c r="B12" s="361">
        <f t="shared" si="1"/>
        <v>70</v>
      </c>
      <c r="C12" s="362">
        <f t="shared" si="2"/>
        <v>4.666666667</v>
      </c>
      <c r="D12" s="362">
        <f t="shared" si="7"/>
        <v>23.33333333</v>
      </c>
      <c r="E12" s="367">
        <v>12.0</v>
      </c>
      <c r="F12" s="364">
        <f t="shared" si="8"/>
        <v>36</v>
      </c>
      <c r="G12" s="362">
        <f t="shared" si="3"/>
        <v>1.08</v>
      </c>
      <c r="H12" s="364">
        <f>countif('バグ一覧'!D:D,"=A12")</f>
        <v>0</v>
      </c>
      <c r="I12" s="356">
        <f t="shared" si="9"/>
        <v>0</v>
      </c>
      <c r="J12" s="365">
        <f t="shared" si="4"/>
        <v>0</v>
      </c>
      <c r="K12" s="354">
        <v>1.0</v>
      </c>
      <c r="L12" s="354">
        <f t="shared" si="10"/>
        <v>2</v>
      </c>
      <c r="M12" s="354">
        <f t="shared" si="5"/>
        <v>-2</v>
      </c>
    </row>
    <row r="13">
      <c r="A13" s="366">
        <f t="shared" si="6"/>
        <v>45396</v>
      </c>
      <c r="B13" s="361">
        <f t="shared" si="1"/>
        <v>70</v>
      </c>
      <c r="C13" s="362">
        <f t="shared" si="2"/>
        <v>4.666666667</v>
      </c>
      <c r="D13" s="362">
        <f t="shared" si="7"/>
        <v>28</v>
      </c>
      <c r="E13" s="367">
        <v>8.0</v>
      </c>
      <c r="F13" s="364">
        <f t="shared" si="8"/>
        <v>44</v>
      </c>
      <c r="G13" s="362">
        <f t="shared" si="3"/>
        <v>1.32</v>
      </c>
      <c r="H13" s="364">
        <f>countif('バグ一覧'!D:D,"=A8")</f>
        <v>0</v>
      </c>
      <c r="I13" s="356">
        <f t="shared" si="9"/>
        <v>0</v>
      </c>
      <c r="J13" s="365">
        <f t="shared" si="4"/>
        <v>0</v>
      </c>
      <c r="K13" s="354">
        <v>1.0</v>
      </c>
      <c r="L13" s="354">
        <f t="shared" si="10"/>
        <v>3</v>
      </c>
      <c r="M13" s="354">
        <f t="shared" si="5"/>
        <v>-3</v>
      </c>
    </row>
    <row r="14">
      <c r="A14" s="366">
        <f t="shared" si="6"/>
        <v>45397</v>
      </c>
      <c r="B14" s="361">
        <f t="shared" si="1"/>
        <v>70</v>
      </c>
      <c r="C14" s="362">
        <f t="shared" si="2"/>
        <v>4.666666667</v>
      </c>
      <c r="D14" s="362">
        <f t="shared" si="7"/>
        <v>32.66666667</v>
      </c>
      <c r="E14" s="367">
        <v>9.0</v>
      </c>
      <c r="F14" s="364">
        <f t="shared" si="8"/>
        <v>53</v>
      </c>
      <c r="G14" s="362">
        <f t="shared" si="3"/>
        <v>1.59</v>
      </c>
      <c r="H14" s="364">
        <f>countif('バグ一覧'!D:D,"=A8")</f>
        <v>0</v>
      </c>
      <c r="I14" s="356">
        <f t="shared" si="9"/>
        <v>0</v>
      </c>
      <c r="J14" s="365">
        <f t="shared" si="4"/>
        <v>0</v>
      </c>
      <c r="K14" s="354">
        <v>0.0</v>
      </c>
      <c r="L14" s="354">
        <f t="shared" si="10"/>
        <v>3</v>
      </c>
      <c r="M14" s="354">
        <f t="shared" si="5"/>
        <v>-3</v>
      </c>
    </row>
    <row r="15">
      <c r="A15" s="366">
        <f t="shared" si="6"/>
        <v>45398</v>
      </c>
      <c r="B15" s="361">
        <f t="shared" si="1"/>
        <v>70</v>
      </c>
      <c r="C15" s="362">
        <f t="shared" si="2"/>
        <v>4.666666667</v>
      </c>
      <c r="D15" s="362">
        <f t="shared" si="7"/>
        <v>37.33333333</v>
      </c>
      <c r="E15" s="367">
        <v>10.0</v>
      </c>
      <c r="F15" s="364">
        <f t="shared" si="8"/>
        <v>63</v>
      </c>
      <c r="G15" s="362">
        <f t="shared" si="3"/>
        <v>1.89</v>
      </c>
      <c r="H15" s="364">
        <f>countif('バグ一覧'!D:D,"=A8")</f>
        <v>0</v>
      </c>
      <c r="I15" s="356">
        <f t="shared" si="9"/>
        <v>0</v>
      </c>
      <c r="J15" s="365">
        <f t="shared" si="4"/>
        <v>0</v>
      </c>
      <c r="K15" s="354">
        <v>0.0</v>
      </c>
      <c r="L15" s="354">
        <f t="shared" si="10"/>
        <v>3</v>
      </c>
      <c r="M15" s="354">
        <f t="shared" si="5"/>
        <v>-3</v>
      </c>
    </row>
    <row r="16">
      <c r="A16" s="366">
        <f t="shared" si="6"/>
        <v>45399</v>
      </c>
      <c r="B16" s="361">
        <f t="shared" si="1"/>
        <v>70</v>
      </c>
      <c r="C16" s="362">
        <f t="shared" si="2"/>
        <v>4.666666667</v>
      </c>
      <c r="D16" s="362">
        <f t="shared" si="7"/>
        <v>42</v>
      </c>
      <c r="E16" s="367">
        <v>11.0</v>
      </c>
      <c r="F16" s="364">
        <f t="shared" si="8"/>
        <v>74</v>
      </c>
      <c r="G16" s="362">
        <f t="shared" si="3"/>
        <v>2.22</v>
      </c>
      <c r="H16" s="364">
        <f>countif('バグ一覧'!D:D,"=A8")</f>
        <v>0</v>
      </c>
      <c r="I16" s="356">
        <f t="shared" si="9"/>
        <v>0</v>
      </c>
      <c r="J16" s="365">
        <f t="shared" si="4"/>
        <v>0</v>
      </c>
      <c r="K16" s="354">
        <v>1.0</v>
      </c>
      <c r="L16" s="354">
        <f t="shared" si="10"/>
        <v>4</v>
      </c>
      <c r="M16" s="354">
        <f t="shared" si="5"/>
        <v>-4</v>
      </c>
    </row>
    <row r="17">
      <c r="A17" s="366">
        <f t="shared" si="6"/>
        <v>45400</v>
      </c>
      <c r="B17" s="361">
        <f t="shared" si="1"/>
        <v>70</v>
      </c>
      <c r="C17" s="362">
        <f t="shared" si="2"/>
        <v>4.666666667</v>
      </c>
      <c r="D17" s="362">
        <f t="shared" si="7"/>
        <v>46.66666667</v>
      </c>
      <c r="E17" s="367">
        <v>12.0</v>
      </c>
      <c r="F17" s="364">
        <f t="shared" si="8"/>
        <v>86</v>
      </c>
      <c r="G17" s="362">
        <f t="shared" si="3"/>
        <v>2.58</v>
      </c>
      <c r="H17" s="364">
        <f>countif('バグ一覧'!D:D,"=A8")</f>
        <v>0</v>
      </c>
      <c r="I17" s="356">
        <f t="shared" si="9"/>
        <v>0</v>
      </c>
      <c r="J17" s="365">
        <f t="shared" si="4"/>
        <v>0</v>
      </c>
      <c r="K17" s="354">
        <v>1.0</v>
      </c>
      <c r="L17" s="354">
        <f t="shared" si="10"/>
        <v>5</v>
      </c>
      <c r="M17" s="354">
        <f t="shared" si="5"/>
        <v>-5</v>
      </c>
    </row>
    <row r="18">
      <c r="A18" s="366">
        <f t="shared" si="6"/>
        <v>45401</v>
      </c>
      <c r="B18" s="361">
        <f t="shared" si="1"/>
        <v>70</v>
      </c>
      <c r="C18" s="362">
        <f t="shared" si="2"/>
        <v>4.666666667</v>
      </c>
      <c r="D18" s="362">
        <f t="shared" si="7"/>
        <v>51.33333333</v>
      </c>
      <c r="E18" s="367">
        <v>8.0</v>
      </c>
      <c r="F18" s="364">
        <f t="shared" si="8"/>
        <v>94</v>
      </c>
      <c r="G18" s="362">
        <f t="shared" si="3"/>
        <v>2.82</v>
      </c>
      <c r="H18" s="364">
        <f>countif('バグ一覧'!D:D,"=A8")</f>
        <v>0</v>
      </c>
      <c r="I18" s="356">
        <f t="shared" si="9"/>
        <v>0</v>
      </c>
      <c r="J18" s="365">
        <f t="shared" si="4"/>
        <v>0</v>
      </c>
      <c r="K18" s="354">
        <v>1.0</v>
      </c>
      <c r="L18" s="354">
        <f t="shared" si="10"/>
        <v>6</v>
      </c>
      <c r="M18" s="354">
        <f t="shared" si="5"/>
        <v>-6</v>
      </c>
    </row>
    <row r="19">
      <c r="A19" s="366">
        <f t="shared" si="6"/>
        <v>45402</v>
      </c>
      <c r="B19" s="361">
        <f t="shared" si="1"/>
        <v>70</v>
      </c>
      <c r="C19" s="362">
        <f t="shared" si="2"/>
        <v>4.666666667</v>
      </c>
      <c r="D19" s="362">
        <f t="shared" si="7"/>
        <v>56</v>
      </c>
      <c r="E19" s="367">
        <v>9.0</v>
      </c>
      <c r="F19" s="364">
        <f t="shared" si="8"/>
        <v>103</v>
      </c>
      <c r="G19" s="362">
        <f t="shared" si="3"/>
        <v>3.09</v>
      </c>
      <c r="H19" s="364">
        <f>countif('バグ一覧'!D:D,"=A8")</f>
        <v>0</v>
      </c>
      <c r="I19" s="356">
        <f t="shared" si="9"/>
        <v>0</v>
      </c>
      <c r="J19" s="365">
        <f t="shared" si="4"/>
        <v>0</v>
      </c>
      <c r="K19" s="354">
        <v>0.0</v>
      </c>
      <c r="L19" s="354">
        <f t="shared" si="10"/>
        <v>6</v>
      </c>
      <c r="M19" s="354">
        <f t="shared" si="5"/>
        <v>-6</v>
      </c>
    </row>
    <row r="20">
      <c r="A20" s="366">
        <f t="shared" si="6"/>
        <v>45403</v>
      </c>
      <c r="B20" s="361">
        <f t="shared" si="1"/>
        <v>70</v>
      </c>
      <c r="C20" s="362">
        <f t="shared" si="2"/>
        <v>4.666666667</v>
      </c>
      <c r="D20" s="362">
        <f t="shared" si="7"/>
        <v>60.66666667</v>
      </c>
      <c r="E20" s="367">
        <v>10.0</v>
      </c>
      <c r="F20" s="364">
        <f t="shared" si="8"/>
        <v>113</v>
      </c>
      <c r="G20" s="362">
        <f t="shared" si="3"/>
        <v>3.39</v>
      </c>
      <c r="H20" s="364">
        <f>countif('バグ一覧'!D:D,"=A8")</f>
        <v>0</v>
      </c>
      <c r="I20" s="356">
        <f t="shared" si="9"/>
        <v>0</v>
      </c>
      <c r="J20" s="365">
        <f t="shared" si="4"/>
        <v>0</v>
      </c>
      <c r="K20" s="354">
        <v>2.0</v>
      </c>
      <c r="L20" s="354">
        <f t="shared" si="10"/>
        <v>8</v>
      </c>
      <c r="M20" s="354">
        <f t="shared" si="5"/>
        <v>-8</v>
      </c>
    </row>
    <row r="21">
      <c r="A21" s="366">
        <f t="shared" si="6"/>
        <v>45404</v>
      </c>
      <c r="B21" s="361">
        <f t="shared" si="1"/>
        <v>70</v>
      </c>
      <c r="C21" s="362">
        <f t="shared" si="2"/>
        <v>4.666666667</v>
      </c>
      <c r="D21" s="362">
        <f t="shared" si="7"/>
        <v>65.33333333</v>
      </c>
      <c r="E21" s="363">
        <v>20.0</v>
      </c>
      <c r="F21" s="364">
        <f t="shared" si="8"/>
        <v>133</v>
      </c>
      <c r="G21" s="362">
        <f t="shared" si="3"/>
        <v>3.99</v>
      </c>
      <c r="H21" s="364">
        <f>countif('バグ一覧'!D:D,"=A8")</f>
        <v>0</v>
      </c>
      <c r="I21" s="356">
        <f t="shared" si="9"/>
        <v>0</v>
      </c>
      <c r="J21" s="365">
        <f t="shared" si="4"/>
        <v>0</v>
      </c>
      <c r="K21" s="354">
        <v>1.0</v>
      </c>
      <c r="L21" s="354">
        <f t="shared" si="10"/>
        <v>9</v>
      </c>
      <c r="M21" s="354">
        <f t="shared" si="5"/>
        <v>-9</v>
      </c>
    </row>
    <row r="22">
      <c r="A22" s="366">
        <f t="shared" si="6"/>
        <v>45405</v>
      </c>
      <c r="B22" s="361">
        <f t="shared" si="1"/>
        <v>70</v>
      </c>
      <c r="C22" s="362">
        <f t="shared" si="2"/>
        <v>4.666666667</v>
      </c>
      <c r="D22" s="362">
        <f t="shared" si="7"/>
        <v>70</v>
      </c>
      <c r="E22" s="363">
        <v>20.0</v>
      </c>
      <c r="F22" s="364">
        <f t="shared" si="8"/>
        <v>153</v>
      </c>
      <c r="G22" s="362">
        <f t="shared" si="3"/>
        <v>4.59</v>
      </c>
      <c r="H22" s="364">
        <f>countif('バグ一覧'!D:D,"=A8")</f>
        <v>0</v>
      </c>
      <c r="I22" s="356">
        <f t="shared" si="9"/>
        <v>0</v>
      </c>
      <c r="J22" s="365">
        <f t="shared" si="4"/>
        <v>0</v>
      </c>
      <c r="K22" s="354">
        <v>0.0</v>
      </c>
      <c r="L22" s="354">
        <f t="shared" si="10"/>
        <v>9</v>
      </c>
      <c r="M22" s="354">
        <f t="shared" si="5"/>
        <v>-9</v>
      </c>
    </row>
    <row r="23">
      <c r="A23" s="356" t="s">
        <v>597</v>
      </c>
      <c r="B23" s="364"/>
      <c r="C23" s="362">
        <f>sum(C8:C22)</f>
        <v>70</v>
      </c>
      <c r="D23" s="364"/>
      <c r="E23" s="364">
        <f>sum(E8:E22)</f>
        <v>153</v>
      </c>
      <c r="F23" s="364">
        <f>MAX(F8:F22)</f>
        <v>153</v>
      </c>
      <c r="G23" s="368">
        <f>max(G8:G22)</f>
        <v>4.59</v>
      </c>
      <c r="H23" s="364">
        <f>sum(H8:H22)</f>
        <v>0</v>
      </c>
      <c r="I23" s="356">
        <f>max(I8:I22)</f>
        <v>0</v>
      </c>
      <c r="J23" s="364"/>
      <c r="K23" s="364">
        <f>sum(K8:K22)</f>
        <v>9</v>
      </c>
      <c r="L23" s="354">
        <f>max(L8:L22)</f>
        <v>9</v>
      </c>
      <c r="M23" s="35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69"/>
      <c r="B1" s="86"/>
      <c r="C1" s="86"/>
      <c r="D1" s="86"/>
      <c r="E1" s="86"/>
      <c r="F1" s="86"/>
      <c r="G1" s="86"/>
      <c r="H1" s="86"/>
      <c r="I1" s="86"/>
      <c r="J1" s="369"/>
      <c r="K1" s="86"/>
      <c r="L1" s="86"/>
      <c r="M1" s="86"/>
      <c r="N1" s="86"/>
      <c r="O1" s="86"/>
      <c r="P1" s="86"/>
      <c r="Q1" s="86"/>
      <c r="R1" s="86"/>
      <c r="S1" s="86"/>
      <c r="T1" s="86"/>
      <c r="U1" s="86"/>
      <c r="V1" s="86"/>
      <c r="W1" s="86"/>
      <c r="X1" s="86"/>
      <c r="Y1" s="86"/>
    </row>
    <row r="2">
      <c r="A2" s="370" t="s">
        <v>598</v>
      </c>
      <c r="B2" s="371"/>
      <c r="C2" s="371"/>
      <c r="D2" s="371"/>
      <c r="E2" s="371"/>
      <c r="F2" s="371"/>
      <c r="G2" s="371"/>
      <c r="H2" s="371"/>
      <c r="I2" s="371"/>
      <c r="J2" s="372"/>
      <c r="K2" s="371"/>
      <c r="L2" s="371"/>
      <c r="M2" s="371"/>
      <c r="N2" s="371"/>
      <c r="O2" s="371"/>
      <c r="P2" s="371"/>
      <c r="Q2" s="371"/>
      <c r="R2" s="371"/>
      <c r="S2" s="371"/>
      <c r="T2" s="371"/>
      <c r="U2" s="371"/>
      <c r="V2" s="371"/>
      <c r="W2" s="371"/>
      <c r="X2" s="371"/>
      <c r="Y2" s="371"/>
    </row>
    <row r="3">
      <c r="A3" s="373"/>
      <c r="B3" s="324"/>
      <c r="C3" s="324"/>
      <c r="D3" s="322"/>
      <c r="E3" s="374" t="s">
        <v>599</v>
      </c>
      <c r="F3" s="374" t="s">
        <v>600</v>
      </c>
      <c r="G3" s="374" t="s">
        <v>601</v>
      </c>
      <c r="H3" s="374" t="s">
        <v>549</v>
      </c>
      <c r="I3" s="86"/>
      <c r="J3" s="86"/>
      <c r="K3" s="86"/>
      <c r="L3" s="86"/>
      <c r="M3" s="86"/>
      <c r="N3" s="86"/>
      <c r="O3" s="86"/>
      <c r="P3" s="86"/>
      <c r="Q3" s="86"/>
      <c r="R3" s="86"/>
      <c r="S3" s="86"/>
      <c r="T3" s="86"/>
      <c r="U3" s="86"/>
      <c r="V3" s="86"/>
      <c r="W3" s="86"/>
      <c r="X3" s="86"/>
      <c r="Y3" s="86"/>
    </row>
    <row r="4">
      <c r="A4" s="375" t="s">
        <v>602</v>
      </c>
      <c r="B4" s="324" t="s">
        <v>571</v>
      </c>
      <c r="C4" s="376"/>
      <c r="D4" s="333"/>
      <c r="E4" s="377">
        <v>100.0</v>
      </c>
      <c r="F4" s="378" t="str">
        <f>sum(#REF!)</f>
        <v>#REF!</v>
      </c>
      <c r="G4" s="378" t="str">
        <f>F4/E4%</f>
        <v>#REF!</v>
      </c>
      <c r="H4" s="322" t="s">
        <v>603</v>
      </c>
      <c r="I4" s="86"/>
      <c r="J4" s="86"/>
      <c r="K4" s="86"/>
      <c r="L4" s="86"/>
      <c r="M4" s="86"/>
      <c r="N4" s="86"/>
      <c r="O4" s="86"/>
      <c r="P4" s="86"/>
      <c r="Q4" s="86"/>
      <c r="R4" s="86"/>
      <c r="S4" s="86"/>
      <c r="T4" s="86"/>
      <c r="U4" s="86"/>
      <c r="V4" s="86"/>
      <c r="W4" s="86"/>
      <c r="X4" s="86"/>
      <c r="Y4" s="86"/>
    </row>
    <row r="5">
      <c r="A5" s="375" t="s">
        <v>604</v>
      </c>
      <c r="B5" s="379"/>
      <c r="C5" s="376"/>
      <c r="D5" s="333"/>
      <c r="E5" s="322" t="s">
        <v>42</v>
      </c>
      <c r="F5" s="322" t="s">
        <v>42</v>
      </c>
      <c r="G5" s="322" t="s">
        <v>42</v>
      </c>
      <c r="H5" s="322" t="s">
        <v>42</v>
      </c>
      <c r="I5" s="86"/>
      <c r="J5" s="86"/>
      <c r="K5" s="86"/>
      <c r="L5" s="86"/>
      <c r="M5" s="86"/>
      <c r="N5" s="86"/>
      <c r="O5" s="86"/>
      <c r="P5" s="86"/>
      <c r="Q5" s="86"/>
      <c r="R5" s="86"/>
      <c r="S5" s="86"/>
      <c r="T5" s="86"/>
      <c r="U5" s="86"/>
      <c r="V5" s="86"/>
      <c r="W5" s="86"/>
      <c r="X5" s="86"/>
      <c r="Y5" s="86"/>
    </row>
    <row r="6">
      <c r="A6" s="369"/>
      <c r="B6" s="86"/>
      <c r="C6" s="86"/>
      <c r="D6" s="86"/>
      <c r="E6" s="86"/>
      <c r="F6" s="86"/>
      <c r="G6" s="86"/>
      <c r="H6" s="86"/>
      <c r="I6" s="86"/>
      <c r="J6" s="86"/>
      <c r="K6" s="86"/>
      <c r="L6" s="86"/>
      <c r="M6" s="86"/>
      <c r="N6" s="86"/>
      <c r="O6" s="86"/>
      <c r="P6" s="86"/>
      <c r="Q6" s="86"/>
      <c r="R6" s="86"/>
      <c r="S6" s="86"/>
      <c r="T6" s="86"/>
      <c r="U6" s="86"/>
      <c r="V6" s="86"/>
      <c r="W6" s="86"/>
      <c r="X6" s="86"/>
      <c r="Y6" s="86"/>
    </row>
    <row r="7">
      <c r="A7" s="370" t="s">
        <v>605</v>
      </c>
      <c r="B7" s="371"/>
      <c r="C7" s="371"/>
      <c r="D7" s="371"/>
      <c r="E7" s="371"/>
      <c r="F7" s="371"/>
      <c r="G7" s="371"/>
      <c r="H7" s="371"/>
      <c r="I7" s="371"/>
      <c r="J7" s="372"/>
      <c r="K7" s="371"/>
      <c r="L7" s="371"/>
      <c r="M7" s="371"/>
      <c r="N7" s="371"/>
      <c r="O7" s="371"/>
      <c r="P7" s="371"/>
      <c r="Q7" s="371"/>
      <c r="R7" s="371"/>
      <c r="S7" s="371"/>
      <c r="T7" s="371"/>
      <c r="U7" s="371"/>
      <c r="V7" s="371"/>
      <c r="W7" s="371"/>
      <c r="X7" s="371"/>
      <c r="Y7" s="371"/>
    </row>
    <row r="8">
      <c r="E8" s="380" t="s">
        <v>599</v>
      </c>
      <c r="F8" s="380" t="s">
        <v>600</v>
      </c>
      <c r="G8" s="380" t="s">
        <v>601</v>
      </c>
      <c r="H8" s="380" t="s">
        <v>549</v>
      </c>
    </row>
    <row r="9">
      <c r="A9" s="107" t="s">
        <v>602</v>
      </c>
      <c r="B9" s="381" t="s">
        <v>571</v>
      </c>
      <c r="C9" s="382"/>
      <c r="D9" s="326"/>
      <c r="E9" s="314">
        <v>100.0</v>
      </c>
      <c r="F9" s="279" t="str">
        <f>sum(#REF!)</f>
        <v>#REF!</v>
      </c>
      <c r="G9" s="279" t="str">
        <f>F9/E9%</f>
        <v>#REF!</v>
      </c>
      <c r="H9" s="107" t="s">
        <v>603</v>
      </c>
    </row>
    <row r="10">
      <c r="A10" s="107" t="s">
        <v>604</v>
      </c>
      <c r="B10" s="383"/>
      <c r="C10" s="382"/>
      <c r="D10" s="326"/>
      <c r="E10" s="107" t="s">
        <v>42</v>
      </c>
      <c r="F10" s="107" t="s">
        <v>42</v>
      </c>
      <c r="G10" s="107" t="s">
        <v>42</v>
      </c>
      <c r="H10" s="107" t="s">
        <v>42</v>
      </c>
    </row>
  </sheetData>
  <mergeCells count="4">
    <mergeCell ref="B4:D4"/>
    <mergeCell ref="B5:D5"/>
    <mergeCell ref="B9:D9"/>
    <mergeCell ref="B10:D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70" t="s">
        <v>606</v>
      </c>
      <c r="B1" s="371"/>
      <c r="C1" s="371"/>
      <c r="D1" s="371"/>
      <c r="E1" s="371"/>
      <c r="F1" s="371"/>
      <c r="G1" s="371"/>
      <c r="H1" s="371"/>
      <c r="I1" s="371"/>
      <c r="J1" s="372"/>
      <c r="K1" s="371"/>
      <c r="L1" s="371"/>
      <c r="M1" s="371"/>
      <c r="N1" s="371"/>
      <c r="O1" s="371"/>
      <c r="P1" s="371"/>
      <c r="Q1" s="371"/>
      <c r="R1" s="371"/>
      <c r="S1" s="371"/>
      <c r="T1" s="371"/>
      <c r="U1" s="371"/>
      <c r="V1" s="371"/>
      <c r="W1" s="371"/>
      <c r="X1" s="371"/>
      <c r="Y1" s="371"/>
    </row>
    <row r="2">
      <c r="A2" s="373"/>
      <c r="B2" s="324"/>
      <c r="C2" s="324"/>
      <c r="D2" s="322"/>
      <c r="E2" s="374" t="s">
        <v>599</v>
      </c>
      <c r="F2" s="384" t="s">
        <v>607</v>
      </c>
      <c r="G2" s="374" t="s">
        <v>601</v>
      </c>
      <c r="H2" s="374" t="s">
        <v>549</v>
      </c>
      <c r="I2" s="86"/>
      <c r="J2" s="86"/>
      <c r="K2" s="86"/>
      <c r="L2" s="86"/>
      <c r="M2" s="86"/>
      <c r="N2" s="86"/>
      <c r="O2" s="86"/>
      <c r="P2" s="86"/>
      <c r="Q2" s="86"/>
      <c r="R2" s="86"/>
      <c r="S2" s="86"/>
      <c r="T2" s="86"/>
      <c r="U2" s="86"/>
      <c r="V2" s="86"/>
      <c r="W2" s="86"/>
      <c r="X2" s="86"/>
      <c r="Y2" s="86"/>
    </row>
    <row r="3">
      <c r="A3" s="375" t="s">
        <v>602</v>
      </c>
      <c r="B3" s="385" t="s">
        <v>608</v>
      </c>
      <c r="C3" s="376"/>
      <c r="D3" s="333"/>
      <c r="E3" s="386">
        <v>240.0</v>
      </c>
      <c r="F3" s="387">
        <v>42.0</v>
      </c>
      <c r="G3" s="378">
        <f>E3/F3</f>
        <v>5.714285714</v>
      </c>
      <c r="H3" s="322"/>
      <c r="I3" s="355" t="s">
        <v>552</v>
      </c>
      <c r="J3" s="86"/>
      <c r="K3" s="86"/>
      <c r="L3" s="86"/>
      <c r="M3" s="86"/>
      <c r="N3" s="86"/>
      <c r="O3" s="86"/>
      <c r="P3" s="86"/>
      <c r="Q3" s="86"/>
      <c r="R3" s="86"/>
      <c r="S3" s="86"/>
      <c r="T3" s="86"/>
      <c r="U3" s="86"/>
      <c r="V3" s="86"/>
      <c r="W3" s="86"/>
      <c r="X3" s="86"/>
      <c r="Y3" s="86"/>
    </row>
    <row r="4">
      <c r="A4" s="375" t="s">
        <v>604</v>
      </c>
      <c r="B4" s="379"/>
      <c r="C4" s="376"/>
      <c r="D4" s="333"/>
      <c r="E4" s="322" t="s">
        <v>42</v>
      </c>
      <c r="F4" s="322" t="s">
        <v>42</v>
      </c>
      <c r="G4" s="322" t="s">
        <v>42</v>
      </c>
      <c r="H4" s="322" t="s">
        <v>42</v>
      </c>
      <c r="I4" s="86"/>
      <c r="J4" s="86"/>
      <c r="K4" s="86"/>
      <c r="L4" s="86"/>
      <c r="M4" s="86"/>
      <c r="N4" s="86"/>
      <c r="O4" s="86"/>
      <c r="P4" s="86"/>
      <c r="Q4" s="86"/>
      <c r="R4" s="86"/>
      <c r="S4" s="86"/>
      <c r="T4" s="86"/>
      <c r="U4" s="86"/>
      <c r="V4" s="86"/>
      <c r="W4" s="86"/>
      <c r="X4" s="86"/>
      <c r="Y4" s="86"/>
    </row>
    <row r="5">
      <c r="A5" s="388" t="s">
        <v>609</v>
      </c>
      <c r="B5" s="379"/>
      <c r="C5" s="376"/>
      <c r="D5" s="333"/>
      <c r="E5" s="389" t="s">
        <v>610</v>
      </c>
      <c r="F5" s="322" t="s">
        <v>42</v>
      </c>
      <c r="G5" s="322" t="s">
        <v>42</v>
      </c>
      <c r="H5" s="322" t="s">
        <v>42</v>
      </c>
    </row>
    <row r="7">
      <c r="A7" s="370" t="s">
        <v>611</v>
      </c>
      <c r="B7" s="371"/>
      <c r="C7" s="371"/>
      <c r="D7" s="371"/>
      <c r="E7" s="371"/>
      <c r="F7" s="371"/>
      <c r="G7" s="371"/>
      <c r="H7" s="371"/>
      <c r="I7" s="371"/>
      <c r="J7" s="372"/>
      <c r="K7" s="371"/>
      <c r="L7" s="371"/>
      <c r="M7" s="371"/>
      <c r="N7" s="371"/>
      <c r="O7" s="371"/>
      <c r="P7" s="371"/>
      <c r="Q7" s="371"/>
      <c r="R7" s="371"/>
      <c r="S7" s="371"/>
      <c r="T7" s="371"/>
      <c r="U7" s="371"/>
      <c r="V7" s="371"/>
      <c r="W7" s="371"/>
      <c r="X7" s="371"/>
      <c r="Y7" s="371"/>
    </row>
    <row r="8">
      <c r="A8" s="373"/>
      <c r="B8" s="324"/>
      <c r="C8" s="324"/>
      <c r="D8" s="322"/>
      <c r="E8" s="384" t="s">
        <v>600</v>
      </c>
      <c r="F8" s="384" t="s">
        <v>607</v>
      </c>
      <c r="G8" s="374" t="s">
        <v>601</v>
      </c>
      <c r="H8" s="374" t="s">
        <v>549</v>
      </c>
      <c r="I8" s="86"/>
      <c r="J8" s="86"/>
      <c r="K8" s="86"/>
      <c r="L8" s="86"/>
      <c r="M8" s="86"/>
      <c r="N8" s="86"/>
      <c r="O8" s="86"/>
      <c r="P8" s="86"/>
      <c r="Q8" s="86"/>
      <c r="R8" s="86"/>
      <c r="S8" s="86"/>
      <c r="T8" s="86"/>
      <c r="U8" s="86"/>
      <c r="V8" s="86"/>
      <c r="W8" s="86"/>
      <c r="X8" s="86"/>
      <c r="Y8" s="86"/>
    </row>
    <row r="9">
      <c r="A9" s="375" t="s">
        <v>602</v>
      </c>
      <c r="B9" s="385" t="s">
        <v>555</v>
      </c>
      <c r="C9" s="376"/>
      <c r="D9" s="333"/>
      <c r="E9" s="386">
        <v>5.0</v>
      </c>
      <c r="F9" s="387">
        <v>60.0</v>
      </c>
      <c r="G9" s="378">
        <f>E9/F9</f>
        <v>0.08333333333</v>
      </c>
      <c r="H9" s="322" t="s">
        <v>603</v>
      </c>
      <c r="I9" s="86"/>
      <c r="J9" s="86"/>
      <c r="K9" s="86"/>
      <c r="L9" s="86"/>
      <c r="M9" s="86"/>
      <c r="N9" s="86"/>
      <c r="O9" s="86"/>
      <c r="P9" s="86"/>
      <c r="Q9" s="86"/>
      <c r="R9" s="86"/>
      <c r="S9" s="86"/>
      <c r="T9" s="86"/>
      <c r="U9" s="86"/>
      <c r="V9" s="86"/>
      <c r="W9" s="86"/>
      <c r="X9" s="86"/>
      <c r="Y9" s="86"/>
    </row>
    <row r="10">
      <c r="A10" s="375" t="s">
        <v>604</v>
      </c>
      <c r="B10" s="379"/>
      <c r="C10" s="376"/>
      <c r="D10" s="333"/>
      <c r="E10" s="322" t="s">
        <v>42</v>
      </c>
      <c r="F10" s="322" t="s">
        <v>42</v>
      </c>
      <c r="G10" s="322" t="s">
        <v>42</v>
      </c>
      <c r="H10" s="322" t="s">
        <v>42</v>
      </c>
      <c r="I10" s="86"/>
      <c r="J10" s="86"/>
      <c r="K10" s="86"/>
      <c r="L10" s="86"/>
      <c r="M10" s="86"/>
      <c r="N10" s="86"/>
      <c r="O10" s="86"/>
      <c r="P10" s="86"/>
      <c r="Q10" s="86"/>
      <c r="R10" s="86"/>
      <c r="S10" s="86"/>
      <c r="T10" s="86"/>
      <c r="U10" s="86"/>
      <c r="V10" s="86"/>
      <c r="W10" s="86"/>
      <c r="X10" s="86"/>
      <c r="Y10" s="86"/>
    </row>
    <row r="12">
      <c r="A12" s="370" t="s">
        <v>612</v>
      </c>
      <c r="B12" s="371"/>
      <c r="C12" s="371"/>
      <c r="D12" s="371"/>
      <c r="E12" s="371"/>
      <c r="F12" s="371"/>
      <c r="G12" s="371"/>
      <c r="H12" s="371"/>
      <c r="I12" s="371"/>
      <c r="J12" s="372"/>
      <c r="K12" s="371"/>
      <c r="L12" s="371"/>
      <c r="M12" s="371"/>
      <c r="N12" s="371"/>
      <c r="O12" s="371"/>
      <c r="P12" s="371"/>
      <c r="Q12" s="371"/>
      <c r="R12" s="371"/>
      <c r="S12" s="371"/>
      <c r="T12" s="371"/>
      <c r="U12" s="371"/>
      <c r="V12" s="371"/>
      <c r="W12" s="371"/>
      <c r="X12" s="371"/>
      <c r="Y12" s="371"/>
    </row>
    <row r="13">
      <c r="A13" s="373"/>
      <c r="B13" s="324"/>
      <c r="C13" s="324"/>
      <c r="D13" s="322"/>
      <c r="E13" s="384" t="s">
        <v>613</v>
      </c>
      <c r="F13" s="384" t="s">
        <v>614</v>
      </c>
      <c r="G13" s="374" t="s">
        <v>601</v>
      </c>
      <c r="H13" s="374" t="s">
        <v>549</v>
      </c>
      <c r="I13" s="86"/>
      <c r="J13" s="86"/>
      <c r="K13" s="86"/>
      <c r="L13" s="86"/>
      <c r="M13" s="86"/>
      <c r="N13" s="86"/>
      <c r="O13" s="86"/>
      <c r="P13" s="86"/>
      <c r="Q13" s="86"/>
      <c r="R13" s="86"/>
      <c r="S13" s="86"/>
      <c r="T13" s="86"/>
      <c r="U13" s="86"/>
      <c r="V13" s="86"/>
      <c r="W13" s="86"/>
      <c r="X13" s="86"/>
      <c r="Y13" s="86"/>
    </row>
    <row r="14">
      <c r="A14" s="375" t="s">
        <v>602</v>
      </c>
      <c r="B14" s="385" t="s">
        <v>563</v>
      </c>
      <c r="C14" s="376"/>
      <c r="D14" s="333"/>
      <c r="E14" s="386">
        <v>240.0</v>
      </c>
      <c r="F14" s="387">
        <v>60.0</v>
      </c>
      <c r="G14" s="378">
        <f>E14/F14</f>
        <v>4</v>
      </c>
      <c r="H14" s="390" t="s">
        <v>564</v>
      </c>
      <c r="I14" s="86"/>
      <c r="J14" s="86"/>
      <c r="K14" s="86"/>
      <c r="L14" s="86"/>
      <c r="M14" s="86"/>
      <c r="N14" s="86"/>
      <c r="O14" s="86"/>
      <c r="P14" s="86"/>
      <c r="Q14" s="86"/>
      <c r="R14" s="86"/>
      <c r="S14" s="86"/>
      <c r="T14" s="86"/>
      <c r="U14" s="86"/>
      <c r="V14" s="86"/>
      <c r="W14" s="86"/>
      <c r="X14" s="86"/>
      <c r="Y14" s="86"/>
    </row>
    <row r="15">
      <c r="A15" s="375" t="s">
        <v>604</v>
      </c>
      <c r="B15" s="379"/>
      <c r="C15" s="376"/>
      <c r="D15" s="333"/>
      <c r="E15" s="322" t="s">
        <v>42</v>
      </c>
      <c r="F15" s="322" t="s">
        <v>42</v>
      </c>
      <c r="G15" s="322" t="s">
        <v>42</v>
      </c>
      <c r="H15" s="322" t="s">
        <v>42</v>
      </c>
      <c r="I15" s="86"/>
      <c r="J15" s="86"/>
      <c r="K15" s="86"/>
      <c r="L15" s="86"/>
      <c r="M15" s="86"/>
      <c r="N15" s="86"/>
      <c r="O15" s="86"/>
      <c r="P15" s="86"/>
      <c r="Q15" s="86"/>
      <c r="R15" s="86"/>
      <c r="S15" s="86"/>
      <c r="T15" s="86"/>
      <c r="U15" s="86"/>
      <c r="V15" s="86"/>
      <c r="W15" s="86"/>
      <c r="X15" s="86"/>
      <c r="Y15" s="86"/>
    </row>
    <row r="17">
      <c r="A17" s="307" t="s">
        <v>615</v>
      </c>
    </row>
    <row r="18">
      <c r="A18" s="58" t="s">
        <v>616</v>
      </c>
      <c r="B18" s="58">
        <v>60.0</v>
      </c>
    </row>
    <row r="19">
      <c r="A19" s="58" t="s">
        <v>617</v>
      </c>
      <c r="B19" s="58" t="s">
        <v>618</v>
      </c>
      <c r="C19" s="58" t="s">
        <v>619</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